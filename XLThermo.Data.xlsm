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46f9c48b3acd4a27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s\XLThermo.Data\"/>
    </mc:Choice>
  </mc:AlternateContent>
  <xr:revisionPtr revIDLastSave="0" documentId="13_ncr:1_{C8E7B235-1C9F-4F10-A293-6012DC162A34}" xr6:coauthVersionLast="47" xr6:coauthVersionMax="47" xr10:uidLastSave="{00000000-0000-0000-0000-000000000000}"/>
  <bookViews>
    <workbookView xWindow="-110" yWindow="-110" windowWidth="29020" windowHeight="17500" activeTab="2" xr2:uid="{17635108-B55D-4B6D-A1CE-E1026FC3D48F}"/>
  </bookViews>
  <sheets>
    <sheet name="CompoundListRaw" sheetId="14" r:id="rId1"/>
    <sheet name="CompoundListFiltered" sheetId="15" r:id="rId2"/>
    <sheet name="PropertyConstants" sheetId="1" r:id="rId3"/>
    <sheet name="CorrelationList" sheetId="2" r:id="rId4"/>
    <sheet name="RHOL" sheetId="4" r:id="rId5"/>
    <sheet name="PSAT" sheetId="3" r:id="rId6"/>
    <sheet name="HVAP" sheetId="5" r:id="rId7"/>
    <sheet name="CPL" sheetId="7" r:id="rId8"/>
    <sheet name="CPIG" sheetId="8" r:id="rId9"/>
    <sheet name="ETAL" sheetId="9" r:id="rId10"/>
    <sheet name="ETAV" sheetId="10" r:id="rId11"/>
    <sheet name="THCL" sheetId="11" r:id="rId12"/>
    <sheet name="THCV" sheetId="12" r:id="rId13"/>
    <sheet name="SIGL" sheetId="13" r:id="rId14"/>
  </sheets>
  <functionGroups builtInGroupCount="19"/>
  <definedNames>
    <definedName name="_xlnm._FilterDatabase" localSheetId="0" hidden="1">CompoundListRaw!$A$1:$C$433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_xlpm.E" hidden="1" xlm="1">#NAME?</definedName>
    <definedName name="_xlpm.T" hidden="1" xlm="1">#NAME?</definedName>
    <definedName name="_xlpm.TR" hidden="1" xlm="1">#NAME?</definedName>
    <definedName name="AMMONIA.CPIG">_xlfn.LAMBDA(_xlpm.T, _xlfn.LET(_xlpm.A,(33239), _xlpm.B,(-913.64), _xlpm.C,(10.802), _xlpm.D,(0.00021047), _xlpm.E,(-0.000000041739), _xlpm.A+EXP(_xlpm.B/_xlpm.T+_xlpm.C+_xlpm.D*_xlpm.T+_xlpm.E*_xlpm.T^2)))</definedName>
    <definedName name="AMMONIA.CPL">_xlfn.LAMBDA(_xlpm.T, _xlfn.LET(_xlpm.A,(77659), _xlpm.B,(-45330), _xlpm.C,(445.74), _xlpm.D,(-1.4197), _xlpm.E,(0.0015508), _xlpm.A+EXP(_xlpm.B/_xlpm.T+_xlpm.C+_xlpm.D*_xlpm.T+_xlpm.E*_xlpm.T^2)))</definedName>
    <definedName name="AMMONIA.ETAL">_xlfn.LAMBDA(_xlpm.T, EXP((-39.742)+(1486.5)/_xlpm.T+(4.7749)*LN(_xlpm.T)+(-0.000015796)*_xlpm.T^(2)))</definedName>
    <definedName name="AMMONIA.ETAV">_xlfn.LAMBDA(_xlpm.T, ((0.0000000459)*_xlpm.T^(0.96936))/(1 + (48.366)/_xlpm.T + (-2671.4)/_xlpm.T^2))</definedName>
    <definedName name="AMMONIA.HVAP">_xlfn.LAMBDA(_xlpm.T, _xlfn.LET(_xlpm.TR,(_xlpm.T/(405.4)), _xlpm.A,(24542000), _xlpm.B,(-1.3178), _xlpm.C,(4.7194), _xlpm.D,(-5.4808), _xlpm.E,(2.4196), _xlpm.A*(1-_xlpm.TR)^(_xlpm.B+_xlpm.C*_xlpm.TR+_xlpm.D*_xlpm.TR^2+_xlpm.E*_xlpm.TR^3)))</definedName>
    <definedName name="AMMONIA.PSAT">_xlfn.LAMBDA(_xlpm.T, EXP((62.8849)+(-4136.862)/_xlpm.T+(-6.320663)*LN(_xlpm.T)+(0.000009203947)*_xlpm.T^(2)))</definedName>
    <definedName name="AMMONIA.RHOL">_xlfn.LAMBDA(_xlpm.T, (4.0518)/((0.27129)^(1+(1-_xlpm.T/(405.4))^(0.31349))))</definedName>
    <definedName name="AMMONIA.SIGL">_xlfn.LAMBDA(_xlpm.T, _xlfn.LET(_xlpm.A,(-0.01195), _xlpm.B,(209.99), _xlpm.C,(-5.1813), _xlpm.D,(0.011762), _xlpm.E,(-0.000027715), _xlpm.A+EXP(_xlpm.B/_xlpm.T+_xlpm.C+_xlpm.D*_xlpm.T+_xlpm.E*_xlpm.T^2)))</definedName>
    <definedName name="AMMONIA.THCL">_xlfn.LAMBDA(_xlpm.T, _xlfn.LET(_xlpm.A,(-0.95309), _xlpm.B,(14.684), _xlpm.C,(0.56768), _xlpm.D,(-0.00028968), _xlpm.E,(-0.0000019238), _xlpm.A+EXP(_xlpm.B/_xlpm.T+_xlpm.C+_xlpm.D*_xlpm.T+_xlpm.E*_xlpm.T^2)))</definedName>
    <definedName name="AMMONIA.THCV">_xlfn.LAMBDA(_xlpm.T, ((0.000016165)*_xlpm.T^(1.3146))/(1 + (75.168)/_xlpm.T + (-8202.1)/_xlpm.T^2))</definedName>
    <definedName name="solver_adj" localSheetId="2" hidden="1">PropertyConstants!$B$20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PropertyConstants!$B$21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101325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" l="1" a="1"/>
  <c r="B23" i="1" s="1"/>
  <c r="B30" i="1" a="1"/>
  <c r="B30" i="1" s="1"/>
  <c r="B29" i="1" a="1"/>
  <c r="B29" i="1" s="1"/>
  <c r="B28" i="1" a="1"/>
  <c r="B28" i="1" s="1"/>
  <c r="B27" i="1" a="1"/>
  <c r="B27" i="1" s="1"/>
  <c r="B26" i="1" a="1"/>
  <c r="B26" i="1" s="1"/>
  <c r="B25" i="1" a="1"/>
  <c r="B25" i="1" s="1"/>
  <c r="B24" i="1" a="1"/>
  <c r="B24" i="1" s="1"/>
  <c r="B22" i="1" a="1"/>
  <c r="B22" i="1" s="1"/>
  <c r="B21" i="1" a="1"/>
  <c r="B21" i="1" s="1"/>
  <c r="XFD1048575" i="1"/>
  <c r="XFD1048575" i="1" a="1"/>
  <c r="XFD1048574" i="1"/>
  <c r="XFD1048574" i="1" a="1"/>
  <c r="XFD1048573" i="1"/>
  <c r="XFD1048573" i="1" a="1"/>
  <c r="XFD1048572" i="1"/>
  <c r="XFD1048572" i="1" a="1"/>
  <c r="XFD1048571" i="1"/>
  <c r="XFD1048571" i="1" a="1"/>
  <c r="XFD1048570" i="1"/>
  <c r="XFD1048570" i="1" a="1"/>
  <c r="XFD1048569" i="1"/>
  <c r="XFD1048569" i="1" a="1"/>
  <c r="XFD1048568" i="1"/>
  <c r="XFD1048568" i="1" a="1"/>
  <c r="XFD1048567" i="1"/>
  <c r="XFD1048567" i="1" a="1"/>
  <c r="XFD1048566" i="1"/>
  <c r="XFD1048566" i="1" a="1"/>
  <c r="XFD1048565" i="1"/>
  <c r="XFD1048565" i="1" a="1"/>
  <c r="XFD1048564" i="1"/>
  <c r="XFD1048564" i="1" a="1"/>
  <c r="XFD1048563" i="1"/>
  <c r="XFD1048563" i="1" a="1"/>
  <c r="XFD1048562" i="1"/>
  <c r="XFD1048562" i="1" a="1"/>
  <c r="XFD1048561" i="1"/>
  <c r="XFD1048561" i="1" a="1"/>
  <c r="XFD1048560" i="1" a="1"/>
  <c r="XFD1048560" i="1" s="1"/>
  <c r="XFD1048559" i="1" a="1"/>
  <c r="XFD1048559" i="1" s="1"/>
  <c r="XFD1048558" i="1" a="1"/>
  <c r="XFD1048558" i="1" s="1"/>
  <c r="XFD1048557" i="1" a="1"/>
  <c r="XFD1048557" i="1" s="1"/>
  <c r="XFD1048556" i="1" a="1"/>
  <c r="XFD1048556" i="1" s="1"/>
  <c r="XFD1048555" i="1"/>
  <c r="XFD1048555" i="1" a="1"/>
  <c r="XFD1048554" i="1" a="1"/>
  <c r="XFD1048554" i="1" s="1"/>
  <c r="XFD1048553" i="1" a="1"/>
  <c r="XFD1048553" i="1" s="1"/>
  <c r="XFD1048552" i="1" a="1"/>
  <c r="XFD1048552" i="1" s="1"/>
  <c r="XFD1048551" i="1" a="1"/>
  <c r="XFD1048551" i="1" s="1"/>
  <c r="XFD1048550" i="1" a="1"/>
  <c r="XFD104855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<sst xmlns="http://schemas.openxmlformats.org/spreadsheetml/2006/main" count="1918" uniqueCount="923">
  <si>
    <t>Value</t>
  </si>
  <si>
    <t>Name</t>
  </si>
  <si>
    <t>CAS</t>
  </si>
  <si>
    <t>Molecular Weight</t>
  </si>
  <si>
    <t>Property</t>
  </si>
  <si>
    <t>Critical Temperature</t>
  </si>
  <si>
    <t>Critical Pressure</t>
  </si>
  <si>
    <t>Critical Volume</t>
  </si>
  <si>
    <t>Critical Compressibility</t>
  </si>
  <si>
    <t>Normal Boiling Temperature</t>
  </si>
  <si>
    <t>Triple Point Temperature</t>
  </si>
  <si>
    <t>Triple Point Pressure</t>
  </si>
  <si>
    <t>Acentric Factor</t>
  </si>
  <si>
    <t>IG Enthalpy of Formation</t>
  </si>
  <si>
    <t>IG Gibbs Energy of Formation</t>
  </si>
  <si>
    <t>IG Entropy</t>
  </si>
  <si>
    <t>Enthalpy of Combustion</t>
  </si>
  <si>
    <t>AMMONIA</t>
  </si>
  <si>
    <t>7664-41-7</t>
  </si>
  <si>
    <t>Unit</t>
  </si>
  <si>
    <t>kg/kmol</t>
  </si>
  <si>
    <t>K</t>
  </si>
  <si>
    <t>Pa</t>
  </si>
  <si>
    <t>m3/kmol</t>
  </si>
  <si>
    <t>_</t>
  </si>
  <si>
    <t>J/kmol</t>
  </si>
  <si>
    <t>J/kmol/K</t>
  </si>
  <si>
    <t>Correlations</t>
  </si>
  <si>
    <t>Liquid Density</t>
  </si>
  <si>
    <t>Vapor Pressure</t>
  </si>
  <si>
    <t>Enthalpy of Vaporization</t>
  </si>
  <si>
    <t>Liquid Cp</t>
  </si>
  <si>
    <t>Ideal Gas Cp</t>
  </si>
  <si>
    <t>Liquid Viscosity</t>
  </si>
  <si>
    <t>Vapor Viscosity</t>
  </si>
  <si>
    <t>Liquid Thermal Conductivity</t>
  </si>
  <si>
    <t>Vapor Thermal Conductivity</t>
  </si>
  <si>
    <t>Surface Tension</t>
  </si>
  <si>
    <t>Parameter</t>
  </si>
  <si>
    <t>Equation</t>
  </si>
  <si>
    <t>A</t>
  </si>
  <si>
    <t>B</t>
  </si>
  <si>
    <t>C</t>
  </si>
  <si>
    <t>D</t>
  </si>
  <si>
    <t>E</t>
  </si>
  <si>
    <t>T max [K]</t>
  </si>
  <si>
    <t>T min [K]</t>
  </si>
  <si>
    <t>Correlation #1</t>
  </si>
  <si>
    <t>Correlation #2</t>
  </si>
  <si>
    <t>Correlation #3</t>
  </si>
  <si>
    <t>Sheet</t>
  </si>
  <si>
    <t>RHOL</t>
  </si>
  <si>
    <t>PSAT</t>
  </si>
  <si>
    <t>HVAP</t>
  </si>
  <si>
    <t>CPL</t>
  </si>
  <si>
    <t>CPIG</t>
  </si>
  <si>
    <t>ETAL</t>
  </si>
  <si>
    <t>ETAV</t>
  </si>
  <si>
    <t>THCL</t>
  </si>
  <si>
    <t>THCV</t>
  </si>
  <si>
    <t>SIGL</t>
  </si>
  <si>
    <t>MW</t>
  </si>
  <si>
    <t>AIR</t>
  </si>
  <si>
    <t>132259-10-0</t>
  </si>
  <si>
    <t>ARGON</t>
  </si>
  <si>
    <t>7440-37-1</t>
  </si>
  <si>
    <t>BROMINE</t>
  </si>
  <si>
    <t>7726-95-6</t>
  </si>
  <si>
    <t>CARBON TETRACHLORIDE</t>
  </si>
  <si>
    <t>56-23-5</t>
  </si>
  <si>
    <t>CARBON MONOXIDE</t>
  </si>
  <si>
    <t>630-08-0</t>
  </si>
  <si>
    <t>CARBON DIOXIDE</t>
  </si>
  <si>
    <t>124-38-9</t>
  </si>
  <si>
    <t>CARBON DISULFIDE</t>
  </si>
  <si>
    <t>75-15-0</t>
  </si>
  <si>
    <t>PHOSGENE</t>
  </si>
  <si>
    <t>75-44-5</t>
  </si>
  <si>
    <t>TRICHLOROACETYL CHLORIDE</t>
  </si>
  <si>
    <t>76-02-8</t>
  </si>
  <si>
    <t>HYDROGEN CHLORIDE</t>
  </si>
  <si>
    <t>7647-01-0</t>
  </si>
  <si>
    <t>CHLORINE</t>
  </si>
  <si>
    <t>7782-50-5</t>
  </si>
  <si>
    <t>HYDROGEN IODIDE</t>
  </si>
  <si>
    <t>10034-85-2</t>
  </si>
  <si>
    <t>HYDROGEN</t>
  </si>
  <si>
    <t>1333-74-0</t>
  </si>
  <si>
    <t>WATER</t>
  </si>
  <si>
    <t>7732-18-5</t>
  </si>
  <si>
    <t>HYDROGEN SULFIDE</t>
  </si>
  <si>
    <t>NEON</t>
  </si>
  <si>
    <t>NITRIC ACID</t>
  </si>
  <si>
    <t>7697-37-2</t>
  </si>
  <si>
    <t>NITRIC OXIDE</t>
  </si>
  <si>
    <t>10102-43-9</t>
  </si>
  <si>
    <t>NITROGEN DIOXIDE</t>
  </si>
  <si>
    <t>10102-44-0</t>
  </si>
  <si>
    <t>NITROGEN</t>
  </si>
  <si>
    <t>7727-37-9</t>
  </si>
  <si>
    <t>NITROUS OXIDE</t>
  </si>
  <si>
    <t>10024-97-2</t>
  </si>
  <si>
    <t>OXYGEN</t>
  </si>
  <si>
    <t>7782-44-7</t>
  </si>
  <si>
    <t>SULFUR DIOXIDE</t>
  </si>
  <si>
    <t>SULFUR TRIOXIDE</t>
  </si>
  <si>
    <t>CHLOROFORM</t>
  </si>
  <si>
    <t>67-66-3</t>
  </si>
  <si>
    <t>HYDROGEN CYANIDE</t>
  </si>
  <si>
    <t>74-90-8</t>
  </si>
  <si>
    <t>FORMALDEHYDE</t>
  </si>
  <si>
    <t>50-00-0</t>
  </si>
  <si>
    <t>METHYL CHLORIDE</t>
  </si>
  <si>
    <t>74-87-3</t>
  </si>
  <si>
    <t>METHYL IODIDE</t>
  </si>
  <si>
    <t>74-88-4</t>
  </si>
  <si>
    <t>METHANE</t>
  </si>
  <si>
    <t>74-82-8</t>
  </si>
  <si>
    <t>METHANOL</t>
  </si>
  <si>
    <t>67-56-1</t>
  </si>
  <si>
    <t>METHYLAMINE</t>
  </si>
  <si>
    <t>74-89-5</t>
  </si>
  <si>
    <t>TRICHLOROETHYLENE</t>
  </si>
  <si>
    <t>79-01-6</t>
  </si>
  <si>
    <t>DICHLOROACETYL CHLORIDE</t>
  </si>
  <si>
    <t>79-36-7</t>
  </si>
  <si>
    <t>TRICHLOROACETALDEHYDE</t>
  </si>
  <si>
    <t>75-87-6</t>
  </si>
  <si>
    <t>ACETYLENE</t>
  </si>
  <si>
    <t>74-86-2</t>
  </si>
  <si>
    <t>DICHLOROACETALDEHYDE</t>
  </si>
  <si>
    <t>79-02-7</t>
  </si>
  <si>
    <t>VINYL CHLORIDE</t>
  </si>
  <si>
    <t>75-01-4</t>
  </si>
  <si>
    <t>ACETYL CHLORIDE</t>
  </si>
  <si>
    <t>75-36-5</t>
  </si>
  <si>
    <t>1,1,2-TRICHLOROETHANE</t>
  </si>
  <si>
    <t>79-00-5</t>
  </si>
  <si>
    <t>ACETONITRILE</t>
  </si>
  <si>
    <t>75-05-8</t>
  </si>
  <si>
    <t>ETHYLENE</t>
  </si>
  <si>
    <t>74-85-1</t>
  </si>
  <si>
    <t>1,1-DICHLOROETHANE</t>
  </si>
  <si>
    <t>75-34-3</t>
  </si>
  <si>
    <t>1,2-DICHLOROETHANE</t>
  </si>
  <si>
    <t>107-06-2</t>
  </si>
  <si>
    <t>ACETALDEHYDE</t>
  </si>
  <si>
    <t>75-07-0</t>
  </si>
  <si>
    <t>ETHYLENE OXIDE</t>
  </si>
  <si>
    <t>75-21-8</t>
  </si>
  <si>
    <t>ACETIC ACID</t>
  </si>
  <si>
    <t>64-19-7</t>
  </si>
  <si>
    <t>METHYL FORMATE</t>
  </si>
  <si>
    <t>107-31-3</t>
  </si>
  <si>
    <t>ETHYL CHLORIDE</t>
  </si>
  <si>
    <t>75-00-3</t>
  </si>
  <si>
    <t>ETHANE</t>
  </si>
  <si>
    <t>74-84-0</t>
  </si>
  <si>
    <t>ETHANOL</t>
  </si>
  <si>
    <t>64-17-5</t>
  </si>
  <si>
    <t>DIMETHYL ETHER</t>
  </si>
  <si>
    <t>115-10-6</t>
  </si>
  <si>
    <t>ETHYLENE GLYCOL</t>
  </si>
  <si>
    <t>107-21-1</t>
  </si>
  <si>
    <t>DIMETHYL SULFIDE</t>
  </si>
  <si>
    <t>75-18-3</t>
  </si>
  <si>
    <t>ETHYL MERCAPTAN</t>
  </si>
  <si>
    <t>75-08-1</t>
  </si>
  <si>
    <t>ETHYLAMINE</t>
  </si>
  <si>
    <t>75-04-7</t>
  </si>
  <si>
    <t>ACRYLONITRILE</t>
  </si>
  <si>
    <t>107-13-1</t>
  </si>
  <si>
    <t>METHYLACETYLENE</t>
  </si>
  <si>
    <t>74-99-7</t>
  </si>
  <si>
    <t>PROPADIENE</t>
  </si>
  <si>
    <t>463-49-0</t>
  </si>
  <si>
    <t>PROPYLENE</t>
  </si>
  <si>
    <t>115-07-1</t>
  </si>
  <si>
    <t>ACETONE</t>
  </si>
  <si>
    <t>67-64-1</t>
  </si>
  <si>
    <t>ETHYL FORMATE</t>
  </si>
  <si>
    <t>109-94-4</t>
  </si>
  <si>
    <t>METHYL ACETATE</t>
  </si>
  <si>
    <t>79-20-9</t>
  </si>
  <si>
    <t>PROPIONIC ACID</t>
  </si>
  <si>
    <t>79-09-4</t>
  </si>
  <si>
    <t>N,N-DIMETHYLFORMAMIDE</t>
  </si>
  <si>
    <t>68-12-2</t>
  </si>
  <si>
    <t>PROPANE</t>
  </si>
  <si>
    <t>74-98-6</t>
  </si>
  <si>
    <t>ISOPROPANOL</t>
  </si>
  <si>
    <t>67-63-0</t>
  </si>
  <si>
    <t>1-PROPANOL</t>
  </si>
  <si>
    <t>71-23-8</t>
  </si>
  <si>
    <t>TRIMETHYLAMINE</t>
  </si>
  <si>
    <t>75-50-3</t>
  </si>
  <si>
    <t>VINYLACETYLENE</t>
  </si>
  <si>
    <t>689-97-4</t>
  </si>
  <si>
    <t>THIOPHENE</t>
  </si>
  <si>
    <t>110-02-1</t>
  </si>
  <si>
    <t>METHACRYLONITRILE</t>
  </si>
  <si>
    <t>126-98-7</t>
  </si>
  <si>
    <t>DIMETHYLACETYLENE</t>
  </si>
  <si>
    <t>503-17-3</t>
  </si>
  <si>
    <t>ETHYLACETYLENE</t>
  </si>
  <si>
    <t>107-00-6</t>
  </si>
  <si>
    <t>1,2-BUTADIENE</t>
  </si>
  <si>
    <t>590-19-2</t>
  </si>
  <si>
    <t>1,3-BUTADIENE</t>
  </si>
  <si>
    <t>106-99-0</t>
  </si>
  <si>
    <t>1-BUTENE</t>
  </si>
  <si>
    <t>106-98-9</t>
  </si>
  <si>
    <t>CIS-2-BUTENE</t>
  </si>
  <si>
    <t>590-18-1</t>
  </si>
  <si>
    <t>TRANS-2-BUTENE</t>
  </si>
  <si>
    <t>624-64-6</t>
  </si>
  <si>
    <t>ISOBUTENE</t>
  </si>
  <si>
    <t>115-11-7</t>
  </si>
  <si>
    <t>2-METHYLPROPANAL</t>
  </si>
  <si>
    <t>78-84-2</t>
  </si>
  <si>
    <t>METHYL ETHYL KETONE</t>
  </si>
  <si>
    <t>78-93-3</t>
  </si>
  <si>
    <t>TETRAHYDROFURAN</t>
  </si>
  <si>
    <t>109-99-9</t>
  </si>
  <si>
    <t>1,4-DIOXANE</t>
  </si>
  <si>
    <t>123-91-1</t>
  </si>
  <si>
    <t>N-BUTYRIC ACID</t>
  </si>
  <si>
    <t>107-92-6</t>
  </si>
  <si>
    <t>ETHYL ACETATE</t>
  </si>
  <si>
    <t>141-78-6</t>
  </si>
  <si>
    <t>METHYL PROPIONATE</t>
  </si>
  <si>
    <t>554-12-1</t>
  </si>
  <si>
    <t>N-PROPYL FORMATE</t>
  </si>
  <si>
    <t>110-74-7</t>
  </si>
  <si>
    <t>SULFOLANE</t>
  </si>
  <si>
    <t>126-33-0</t>
  </si>
  <si>
    <t>N,N-DIMETHYLACETAMIDE</t>
  </si>
  <si>
    <t>127-19-5</t>
  </si>
  <si>
    <t>N-BUTANE</t>
  </si>
  <si>
    <t>106-97-8</t>
  </si>
  <si>
    <t>ISOBUTANE</t>
  </si>
  <si>
    <t>75-28-5</t>
  </si>
  <si>
    <t>1-BUTANOL</t>
  </si>
  <si>
    <t>71-36-3</t>
  </si>
  <si>
    <t>2-METHYL-1-PROPANOL</t>
  </si>
  <si>
    <t>78-83-1</t>
  </si>
  <si>
    <t>2-BUTANOL</t>
  </si>
  <si>
    <t>78-92-2</t>
  </si>
  <si>
    <t>2-METHYL-2-PROPANOL</t>
  </si>
  <si>
    <t>75-65-0</t>
  </si>
  <si>
    <t>DIETHYL ETHER</t>
  </si>
  <si>
    <t>60-29-7</t>
  </si>
  <si>
    <t>DIETHYLENE GLYCOL</t>
  </si>
  <si>
    <t>111-46-6</t>
  </si>
  <si>
    <t>DIETHYLAMINE</t>
  </si>
  <si>
    <t>109-89-7</t>
  </si>
  <si>
    <t>FURFURAL</t>
  </si>
  <si>
    <t>98-01-1</t>
  </si>
  <si>
    <t>PYRIDINE</t>
  </si>
  <si>
    <t>110-86-1</t>
  </si>
  <si>
    <t>ISOPRENE</t>
  </si>
  <si>
    <t>78-79-5</t>
  </si>
  <si>
    <t>CYCLOPENTANE</t>
  </si>
  <si>
    <t>287-92-3</t>
  </si>
  <si>
    <t>2-METHYL-1-BUTENE</t>
  </si>
  <si>
    <t>563-46-2</t>
  </si>
  <si>
    <t>3-METHYL-1-BUTENE</t>
  </si>
  <si>
    <t>563-45-1</t>
  </si>
  <si>
    <t>2-METHYL-2-BUTENE</t>
  </si>
  <si>
    <t>513-35-9</t>
  </si>
  <si>
    <t>1-PENTENE</t>
  </si>
  <si>
    <t>109-67-1</t>
  </si>
  <si>
    <t>CIS-2-PENTENE</t>
  </si>
  <si>
    <t>627-20-3</t>
  </si>
  <si>
    <t>TRANS-2-PENTENE</t>
  </si>
  <si>
    <t>646-04-8</t>
  </si>
  <si>
    <t>3-PENTANONE</t>
  </si>
  <si>
    <t>96-22-0</t>
  </si>
  <si>
    <t>METHYL ISOPROPYL KETONE</t>
  </si>
  <si>
    <t>563-80-4</t>
  </si>
  <si>
    <t>N-PROPYL ACETATE</t>
  </si>
  <si>
    <t>109-60-4</t>
  </si>
  <si>
    <t>ISOPENTANE</t>
  </si>
  <si>
    <t>78-78-4</t>
  </si>
  <si>
    <t>N-PENTANE</t>
  </si>
  <si>
    <t>109-66-0</t>
  </si>
  <si>
    <t>NEOPENTANE</t>
  </si>
  <si>
    <t>463-82-1</t>
  </si>
  <si>
    <t>1,2,4-TRICHLOROBENZENE</t>
  </si>
  <si>
    <t>120-82-1</t>
  </si>
  <si>
    <t>M-DICHLOROBENZENE</t>
  </si>
  <si>
    <t>541-73-1</t>
  </si>
  <si>
    <t>O-DICHLOROBENZENE</t>
  </si>
  <si>
    <t>95-50-1</t>
  </si>
  <si>
    <t>P-DICHLOROBENZENE</t>
  </si>
  <si>
    <t>106-46-7</t>
  </si>
  <si>
    <t>BROMOBENZENE</t>
  </si>
  <si>
    <t>108-86-1</t>
  </si>
  <si>
    <t>MONOCHLOROBENZENE</t>
  </si>
  <si>
    <t>108-90-7</t>
  </si>
  <si>
    <t>IODOBENZENE</t>
  </si>
  <si>
    <t>591-50-4</t>
  </si>
  <si>
    <t>NITROBENZENE</t>
  </si>
  <si>
    <t>98-95-3</t>
  </si>
  <si>
    <t>BENZENE</t>
  </si>
  <si>
    <t>71-43-2</t>
  </si>
  <si>
    <t>PHENOL</t>
  </si>
  <si>
    <t>108-95-2</t>
  </si>
  <si>
    <t>ANILINE</t>
  </si>
  <si>
    <t>62-53-3</t>
  </si>
  <si>
    <t>CYCLOHEXANONE</t>
  </si>
  <si>
    <t>108-94-1</t>
  </si>
  <si>
    <t>CYCLOHEXANE</t>
  </si>
  <si>
    <t>110-82-7</t>
  </si>
  <si>
    <t>1-HEXENE</t>
  </si>
  <si>
    <t>592-41-6</t>
  </si>
  <si>
    <t>METHYLCYCLOPENTANE</t>
  </si>
  <si>
    <t>96-37-7</t>
  </si>
  <si>
    <t>CYCLOHEXANOL</t>
  </si>
  <si>
    <t>108-93-0</t>
  </si>
  <si>
    <t>2,2-DIMETHYLBUTANE</t>
  </si>
  <si>
    <t>75-83-2</t>
  </si>
  <si>
    <t>2,3-DIMETHYLBUTANE</t>
  </si>
  <si>
    <t>79-29-8</t>
  </si>
  <si>
    <t>N-HEXANE</t>
  </si>
  <si>
    <t>110-54-3</t>
  </si>
  <si>
    <t>2-METHYLPENTANE</t>
  </si>
  <si>
    <t>107-83-5</t>
  </si>
  <si>
    <t>3-METHYLPENTANE</t>
  </si>
  <si>
    <t>96-14-0</t>
  </si>
  <si>
    <t>TRIETHYLENE GLYCOL</t>
  </si>
  <si>
    <t>112-27-6</t>
  </si>
  <si>
    <t>TRIETHYLAMINE</t>
  </si>
  <si>
    <t>121-44-8</t>
  </si>
  <si>
    <t>TOLUENE</t>
  </si>
  <si>
    <t>108-88-3</t>
  </si>
  <si>
    <t>M-CRESOL</t>
  </si>
  <si>
    <t>108-39-4</t>
  </si>
  <si>
    <t>O-CRESOL</t>
  </si>
  <si>
    <t>95-48-7</t>
  </si>
  <si>
    <t>P-CRESOL</t>
  </si>
  <si>
    <t>106-44-5</t>
  </si>
  <si>
    <t>METHYLCYCLOHEXANE</t>
  </si>
  <si>
    <t>108-87-2</t>
  </si>
  <si>
    <t>ETHYLCYCLOPENTANE</t>
  </si>
  <si>
    <t>1640-89-7</t>
  </si>
  <si>
    <t>1-HEPTENE</t>
  </si>
  <si>
    <t>592-76-7</t>
  </si>
  <si>
    <t>N-HEPTANE</t>
  </si>
  <si>
    <t>142-82-5</t>
  </si>
  <si>
    <t>STYRENE</t>
  </si>
  <si>
    <t>100-42-5</t>
  </si>
  <si>
    <t>ETHYLBENZENE</t>
  </si>
  <si>
    <t>100-41-4</t>
  </si>
  <si>
    <t>M-XYLENE</t>
  </si>
  <si>
    <t>108-38-3</t>
  </si>
  <si>
    <t>O-XYLENE</t>
  </si>
  <si>
    <t>95-47-6</t>
  </si>
  <si>
    <t>P-XYLENE</t>
  </si>
  <si>
    <t>106-42-3</t>
  </si>
  <si>
    <t>ETHYLCYCLOHEXANE</t>
  </si>
  <si>
    <t>1678-91-7</t>
  </si>
  <si>
    <t>N-PROPYLCYCLOPENTANE</t>
  </si>
  <si>
    <t>2040-96-2</t>
  </si>
  <si>
    <t>N-OCTANE</t>
  </si>
  <si>
    <t>111-65-9</t>
  </si>
  <si>
    <t>2,2,3-TRIMETHYLPENTANE</t>
  </si>
  <si>
    <t>564-02-3</t>
  </si>
  <si>
    <t>2,2,4-TRIMETHYLPENTANE</t>
  </si>
  <si>
    <t>540-84-1</t>
  </si>
  <si>
    <t>2,3,3-TRIMETHYLPENTANE</t>
  </si>
  <si>
    <t>560-21-4</t>
  </si>
  <si>
    <t>2,3,4-TRIMETHYLPENTANE</t>
  </si>
  <si>
    <t>565-75-3</t>
  </si>
  <si>
    <t>TETRAETHYLENE GLYCOL</t>
  </si>
  <si>
    <t>112-60-7</t>
  </si>
  <si>
    <t>INDENE</t>
  </si>
  <si>
    <t>95-13-6</t>
  </si>
  <si>
    <t>INDANE</t>
  </si>
  <si>
    <t>496-11-7</t>
  </si>
  <si>
    <t>CUMENE</t>
  </si>
  <si>
    <t>98-82-8</t>
  </si>
  <si>
    <t>N-PROPYLBENZENE</t>
  </si>
  <si>
    <t>103-65-1</t>
  </si>
  <si>
    <t>N-PROPYLCYCLOHEXANE</t>
  </si>
  <si>
    <t>1678-92-8</t>
  </si>
  <si>
    <t>N-NONANE</t>
  </si>
  <si>
    <t>111-84-2</t>
  </si>
  <si>
    <t>NAPHTHALENE</t>
  </si>
  <si>
    <t>91-20-3</t>
  </si>
  <si>
    <t>1-METHYLINDENE</t>
  </si>
  <si>
    <t>767-59-9</t>
  </si>
  <si>
    <t>2-METHYLINDENE</t>
  </si>
  <si>
    <t>2177-47-1</t>
  </si>
  <si>
    <t>DICYCLOPENTADIENE</t>
  </si>
  <si>
    <t>77-73-6</t>
  </si>
  <si>
    <t>N-BUTYLBENZENE</t>
  </si>
  <si>
    <t>104-51-8</t>
  </si>
  <si>
    <t>N-BUTYLCYCLOHEXANE</t>
  </si>
  <si>
    <t>1678-93-9</t>
  </si>
  <si>
    <t>N-DECANE</t>
  </si>
  <si>
    <t>124-18-5</t>
  </si>
  <si>
    <t>1-METHYLNAPHTHALENE</t>
  </si>
  <si>
    <t>90-12-0</t>
  </si>
  <si>
    <t>2-METHYLNAPHTHALENE</t>
  </si>
  <si>
    <t>91-57-6</t>
  </si>
  <si>
    <t>N-UNDECANE</t>
  </si>
  <si>
    <t>1120-21-4</t>
  </si>
  <si>
    <t>ACENAPHTHENE</t>
  </si>
  <si>
    <t>83-32-9</t>
  </si>
  <si>
    <t>BIPHENYL</t>
  </si>
  <si>
    <t>92-52-4</t>
  </si>
  <si>
    <t>N-DODECANE</t>
  </si>
  <si>
    <t>112-40-3</t>
  </si>
  <si>
    <t>FLUORENE</t>
  </si>
  <si>
    <t>86-73-7</t>
  </si>
  <si>
    <t>N-TRIDECANE</t>
  </si>
  <si>
    <t>629-50-5</t>
  </si>
  <si>
    <t>PHENANTHRENE</t>
  </si>
  <si>
    <t>85-01-8</t>
  </si>
  <si>
    <t>N-TETRADECANE</t>
  </si>
  <si>
    <t>629-59-4</t>
  </si>
  <si>
    <t>N-PENTADECANE</t>
  </si>
  <si>
    <t>629-62-9</t>
  </si>
  <si>
    <t>FLUORANTHENE</t>
  </si>
  <si>
    <t>206-44-0</t>
  </si>
  <si>
    <t>PYRENE</t>
  </si>
  <si>
    <t>129-00-0</t>
  </si>
  <si>
    <t>1-PHENYLNAPHTHALENE</t>
  </si>
  <si>
    <t>605-02-7</t>
  </si>
  <si>
    <t>N-HEXADECANE</t>
  </si>
  <si>
    <t>544-76-3</t>
  </si>
  <si>
    <t>CHRYSENE</t>
  </si>
  <si>
    <t>218-01-9</t>
  </si>
  <si>
    <t>CIS-DECAHYDRONAPHTHALENE</t>
  </si>
  <si>
    <t>493-01-6</t>
  </si>
  <si>
    <t>TRANS-DECAHYDRONAPHTHALENE</t>
  </si>
  <si>
    <t>493-02-7</t>
  </si>
  <si>
    <t>METHYL TERT-BUTYL ETHER</t>
  </si>
  <si>
    <t>1634-04-4</t>
  </si>
  <si>
    <t>METHYL TERT-PENTYL ETHER</t>
  </si>
  <si>
    <t>994-05-8</t>
  </si>
  <si>
    <t>2-METHYL-2-BUTANOL</t>
  </si>
  <si>
    <t>75-85-4</t>
  </si>
  <si>
    <t>NITROGEN TRIOXIDE</t>
  </si>
  <si>
    <t>10544-73-7</t>
  </si>
  <si>
    <t>NITROGEN TETROXIDE</t>
  </si>
  <si>
    <t>10544-72-6</t>
  </si>
  <si>
    <t>HELIUM-4</t>
  </si>
  <si>
    <t>7440-59-7</t>
  </si>
  <si>
    <t>FLUORINE</t>
  </si>
  <si>
    <t>7782-41-4</t>
  </si>
  <si>
    <t>KRYPTON</t>
  </si>
  <si>
    <t>7439-90-9</t>
  </si>
  <si>
    <t>XENON</t>
  </si>
  <si>
    <t>7440-63-3</t>
  </si>
  <si>
    <t>OZONE</t>
  </si>
  <si>
    <t>10028-15-6</t>
  </si>
  <si>
    <t>CARBONYL SULFIDE</t>
  </si>
  <si>
    <t>463-58-1</t>
  </si>
  <si>
    <t>SULFUR HEXAFLUORIDE</t>
  </si>
  <si>
    <t>2551-62-4</t>
  </si>
  <si>
    <t>DIMETHYL SULFOXIDE</t>
  </si>
  <si>
    <t>67-68-5</t>
  </si>
  <si>
    <t>N-HEPTADECANE</t>
  </si>
  <si>
    <t>629-78-7</t>
  </si>
  <si>
    <t>N-OCTADECANE</t>
  </si>
  <si>
    <t>593-45-3</t>
  </si>
  <si>
    <t>N-NONADECANE</t>
  </si>
  <si>
    <t>629-92-5</t>
  </si>
  <si>
    <t>N-HENEICOSANE</t>
  </si>
  <si>
    <t>629-94-7</t>
  </si>
  <si>
    <t>N-DOCOSANE</t>
  </si>
  <si>
    <t>629-97-0</t>
  </si>
  <si>
    <t>N-TRICOSANE</t>
  </si>
  <si>
    <t>638-67-5</t>
  </si>
  <si>
    <t>N-TETRACOSANE</t>
  </si>
  <si>
    <t>646-31-1</t>
  </si>
  <si>
    <t>N-PENTACOSANE</t>
  </si>
  <si>
    <t>629-99-2</t>
  </si>
  <si>
    <t>N-HEXACOSANE</t>
  </si>
  <si>
    <t>630-01-3</t>
  </si>
  <si>
    <t>N-HEPTACOSANE</t>
  </si>
  <si>
    <t>593-49-7</t>
  </si>
  <si>
    <t>N-OCTACOSANE</t>
  </si>
  <si>
    <t>630-02-4</t>
  </si>
  <si>
    <t>N-NONACOSANE</t>
  </si>
  <si>
    <t>630-03-5</t>
  </si>
  <si>
    <t>SQUALANE</t>
  </si>
  <si>
    <t>111-01-3</t>
  </si>
  <si>
    <t>2-METHYLHEXANE</t>
  </si>
  <si>
    <t>591-76-4</t>
  </si>
  <si>
    <t>3-METHYLHEXANE</t>
  </si>
  <si>
    <t>589-34-4</t>
  </si>
  <si>
    <t>3-ETHYLPENTANE</t>
  </si>
  <si>
    <t>617-78-7</t>
  </si>
  <si>
    <t>2,2-DIMETHYLPENTANE</t>
  </si>
  <si>
    <t>590-35-2</t>
  </si>
  <si>
    <t>2,3-DIMETHYLPENTANE</t>
  </si>
  <si>
    <t>565-59-3</t>
  </si>
  <si>
    <t>2,4-DIMETHYLPENTANE</t>
  </si>
  <si>
    <t>108-08-7</t>
  </si>
  <si>
    <t>3,3-DIMETHYLPENTANE</t>
  </si>
  <si>
    <t>562-49-2</t>
  </si>
  <si>
    <t>2,2,3-TRIMETHYLBUTANE</t>
  </si>
  <si>
    <t>464-06-2</t>
  </si>
  <si>
    <t>2-METHYLHEPTANE</t>
  </si>
  <si>
    <t>592-27-8</t>
  </si>
  <si>
    <t>3-METHYLHEPTANE</t>
  </si>
  <si>
    <t>589-81-1</t>
  </si>
  <si>
    <t>4-METHYLHEPTANE</t>
  </si>
  <si>
    <t>589-53-7</t>
  </si>
  <si>
    <t>3-ETHYLHEXANE</t>
  </si>
  <si>
    <t>619-99-8</t>
  </si>
  <si>
    <t>2,2-DIMETHYLHEXANE</t>
  </si>
  <si>
    <t>590-73-8</t>
  </si>
  <si>
    <t>2,3-DIMETHYLHEXANE</t>
  </si>
  <si>
    <t>584-94-1</t>
  </si>
  <si>
    <t>2,4-DIMETHYLHEXANE</t>
  </si>
  <si>
    <t>589-43-5</t>
  </si>
  <si>
    <t>2,5-DIMETHYLHEXANE</t>
  </si>
  <si>
    <t>592-13-2</t>
  </si>
  <si>
    <t>3,3-DIMETHYLHEXANE</t>
  </si>
  <si>
    <t>563-16-6</t>
  </si>
  <si>
    <t>3,4-DIMETHYLHEXANE</t>
  </si>
  <si>
    <t>583-48-2</t>
  </si>
  <si>
    <t>2-METHYL-3-ETHYLPENTANE</t>
  </si>
  <si>
    <t>609-26-7</t>
  </si>
  <si>
    <t>3-METHYL-3-ETHYLPENTANE</t>
  </si>
  <si>
    <t>1067-08-9</t>
  </si>
  <si>
    <t>2,2,3,3-TETRAMETHYLBUTANE</t>
  </si>
  <si>
    <t>594-82-1</t>
  </si>
  <si>
    <t>2,2,5-TRIMETHYLHEXANE</t>
  </si>
  <si>
    <t>3522-94-9</t>
  </si>
  <si>
    <t>2,4,4-TRIMETHYLHEXANE</t>
  </si>
  <si>
    <t>16747-30-1</t>
  </si>
  <si>
    <t>3,3-DIETHYLPENTANE</t>
  </si>
  <si>
    <t>1067-20-5</t>
  </si>
  <si>
    <t>2,2,3,3-TETRAMETHYLPENTANE</t>
  </si>
  <si>
    <t>7154-79-2</t>
  </si>
  <si>
    <t>2,2,3,4-TETRAMETHYLPENTANE</t>
  </si>
  <si>
    <t>1186-53-4</t>
  </si>
  <si>
    <t>2,2,4,4-TETRAMETHYLPENTANE</t>
  </si>
  <si>
    <t>1070-87-7</t>
  </si>
  <si>
    <t>2,3,3,4-TETRAMETHYLPENTANE</t>
  </si>
  <si>
    <t>16747-38-9</t>
  </si>
  <si>
    <t>2-METHYLOCTANE</t>
  </si>
  <si>
    <t>3221-61-2</t>
  </si>
  <si>
    <t>3-METHYLOCTANE</t>
  </si>
  <si>
    <t>2216-33-3</t>
  </si>
  <si>
    <t>4-METHYLOCTANE</t>
  </si>
  <si>
    <t>2216-34-4</t>
  </si>
  <si>
    <t>3-ETHYLHEPTANE</t>
  </si>
  <si>
    <t>15869-80-4</t>
  </si>
  <si>
    <t>2,2-DIMETHYLHEPTANE</t>
  </si>
  <si>
    <t>1071-26-7</t>
  </si>
  <si>
    <t>3,3,5-TRIMETHYLHEPTANE</t>
  </si>
  <si>
    <t>7154-80-5</t>
  </si>
  <si>
    <t>2,2-DIMETHYLOCTANE</t>
  </si>
  <si>
    <t>15869-87-1</t>
  </si>
  <si>
    <t>3-METHYLNONANE</t>
  </si>
  <si>
    <t>2-METHYLNONANE</t>
  </si>
  <si>
    <t>871-83-0</t>
  </si>
  <si>
    <t>4-METHYLNONANE</t>
  </si>
  <si>
    <t>17301-94-9</t>
  </si>
  <si>
    <t>5-METHYLNONANE</t>
  </si>
  <si>
    <t>15869-85-9</t>
  </si>
  <si>
    <t>CIS-2-HEXENE</t>
  </si>
  <si>
    <t>7688-21-3</t>
  </si>
  <si>
    <t>TRANS-2-HEXENE</t>
  </si>
  <si>
    <t>4050-45-7</t>
  </si>
  <si>
    <t>1-OCTENE</t>
  </si>
  <si>
    <t>111-66-0</t>
  </si>
  <si>
    <t>1-NONENE</t>
  </si>
  <si>
    <t>124-11-8</t>
  </si>
  <si>
    <t>1-UNDECENE</t>
  </si>
  <si>
    <t>821-95-4</t>
  </si>
  <si>
    <t>2-METHYL-1-PENTENE</t>
  </si>
  <si>
    <t>763-29-1</t>
  </si>
  <si>
    <t>4-METHYL-CIS-2-PENTENE</t>
  </si>
  <si>
    <t>691-38-3</t>
  </si>
  <si>
    <t>4-METHYL-TRANS-2-PENTENE</t>
  </si>
  <si>
    <t>674-76-0</t>
  </si>
  <si>
    <t>CYCLOHEXENE</t>
  </si>
  <si>
    <t>110-83-8</t>
  </si>
  <si>
    <t>1,1-DIMETHYLCYCLOPENTANE</t>
  </si>
  <si>
    <t>1638-26-2</t>
  </si>
  <si>
    <t>CIS-1,2-DIMETHYLCYCLOPENTANE</t>
  </si>
  <si>
    <t>1192-18-3</t>
  </si>
  <si>
    <t>TRANS-1,2-DIMETHYLCYCLOPENTANE</t>
  </si>
  <si>
    <t>822-50-4</t>
  </si>
  <si>
    <t>CIS-1,3-DIMETHYLCYCLOPENTANE</t>
  </si>
  <si>
    <t>2532-58-3</t>
  </si>
  <si>
    <t>TRANS-1,3-DIMETHYLCYCLOPENTANE</t>
  </si>
  <si>
    <t>1759-58-6</t>
  </si>
  <si>
    <t>ISOPROPYLCYCLOPENTANE</t>
  </si>
  <si>
    <t>3875-51-2</t>
  </si>
  <si>
    <t>1-METHYL-1-ETHYLCYCLOPENTANE</t>
  </si>
  <si>
    <t>16747-50-5</t>
  </si>
  <si>
    <t>N-BUTYLCYCLOPENTANE</t>
  </si>
  <si>
    <t>2040-95-1</t>
  </si>
  <si>
    <t>1,1-DIMETHYLCYCLOHEXANE</t>
  </si>
  <si>
    <t>590-66-9</t>
  </si>
  <si>
    <t>CIS-1,2-DIMETHYLCYCLOHEXANE</t>
  </si>
  <si>
    <t>TRANS-1,2-DIMETHYLCYCLOHEXANE</t>
  </si>
  <si>
    <t>6876-23-9</t>
  </si>
  <si>
    <t>CIS-1,3-DIMETHYLCYCLOHEXANE</t>
  </si>
  <si>
    <t>638-04-0</t>
  </si>
  <si>
    <t>TRANS-1,3-DIMETHYLCYCLOHEXANE</t>
  </si>
  <si>
    <t>CIS-1,4-DIMETHYLCYCLOHEXANE</t>
  </si>
  <si>
    <t>624-29-3</t>
  </si>
  <si>
    <t>TRANS-1,4-DIMETHYLCYCLOHEXANE</t>
  </si>
  <si>
    <t>TERT-BUTYLCYCLOHEXANE</t>
  </si>
  <si>
    <t>3178-22-1</t>
  </si>
  <si>
    <t>O-ETHYLTOLUENE</t>
  </si>
  <si>
    <t>611-14-3</t>
  </si>
  <si>
    <t>M-ETHYLTOLUENE</t>
  </si>
  <si>
    <t>620-14-4</t>
  </si>
  <si>
    <t>P-ETHYLTOLUENE</t>
  </si>
  <si>
    <t>622-96-8</t>
  </si>
  <si>
    <t>1,2,3-TRIMETHYLBENZENE</t>
  </si>
  <si>
    <t>526-73-8</t>
  </si>
  <si>
    <t>1,2,4-TRIMETHYLBENZENE</t>
  </si>
  <si>
    <t>95-63-6</t>
  </si>
  <si>
    <t>MESITYLENE</t>
  </si>
  <si>
    <t>108-67-8</t>
  </si>
  <si>
    <t>ISOBUTYLBENZENE</t>
  </si>
  <si>
    <t>538-93-2</t>
  </si>
  <si>
    <t>SEC-BUTYLBENZENE</t>
  </si>
  <si>
    <t>135-98-8</t>
  </si>
  <si>
    <t>TERT-BUTYLBENZENE</t>
  </si>
  <si>
    <t>98-06-6</t>
  </si>
  <si>
    <t>O-CYMENE</t>
  </si>
  <si>
    <t>527-84-4</t>
  </si>
  <si>
    <t>M-CYMENE</t>
  </si>
  <si>
    <t>535-77-3</t>
  </si>
  <si>
    <t>P-CYMENE</t>
  </si>
  <si>
    <t>99-87-6</t>
  </si>
  <si>
    <t>O-DIETHYLBENZENE</t>
  </si>
  <si>
    <t>135-01-3</t>
  </si>
  <si>
    <t>M-DIETHYLBENZENE</t>
  </si>
  <si>
    <t>141-93-5</t>
  </si>
  <si>
    <t>P-DIETHYLBENZENE</t>
  </si>
  <si>
    <t>105-05-5</t>
  </si>
  <si>
    <t>1,2,3,4-TETRAMETHYLBENZENE</t>
  </si>
  <si>
    <t>488-23-3</t>
  </si>
  <si>
    <t>1,2,3,5-TETRAMETHYLBENZENE</t>
  </si>
  <si>
    <t>527-53-7</t>
  </si>
  <si>
    <t>1,2,4,5-TETRAMETHYLBENZENE</t>
  </si>
  <si>
    <t>95-93-2</t>
  </si>
  <si>
    <t>2-ETHYL-M-XYLENE</t>
  </si>
  <si>
    <t>2-ETHYL-P-XYLENE</t>
  </si>
  <si>
    <t>1758-88-9</t>
  </si>
  <si>
    <t>4-ETHYL-M-XYLENE</t>
  </si>
  <si>
    <t>874-41-9</t>
  </si>
  <si>
    <t>4-ETHYL-O-XYLENE</t>
  </si>
  <si>
    <t>934-80-5</t>
  </si>
  <si>
    <t>1-METHYL-3-N-PROPYLBENZENE</t>
  </si>
  <si>
    <t>1074-43-7</t>
  </si>
  <si>
    <t>1-METHYL-4-N-PROPYLBENZENE</t>
  </si>
  <si>
    <t>1074-55-1</t>
  </si>
  <si>
    <t>P-DIISOPROPYLBENZENE</t>
  </si>
  <si>
    <t>100-18-5</t>
  </si>
  <si>
    <t>METHYL ISOBUTYL KETONE</t>
  </si>
  <si>
    <t>108-10-1</t>
  </si>
  <si>
    <t>3-HEPTANONE</t>
  </si>
  <si>
    <t>106-35-4</t>
  </si>
  <si>
    <t>4-HEPTANONE</t>
  </si>
  <si>
    <t>123-19-3</t>
  </si>
  <si>
    <t>3-HEXANONE</t>
  </si>
  <si>
    <t>589-38-8</t>
  </si>
  <si>
    <t>2-PENTANONE</t>
  </si>
  <si>
    <t>107-87-9</t>
  </si>
  <si>
    <t>2-HEXANONE</t>
  </si>
  <si>
    <t>591-78-6</t>
  </si>
  <si>
    <t>2-HEPTANONE</t>
  </si>
  <si>
    <t>110-43-0</t>
  </si>
  <si>
    <t>5-METHYL-2-HEXANONE</t>
  </si>
  <si>
    <t>110-12-3</t>
  </si>
  <si>
    <t>3,3-DIMETHYL-2-BUTANONE</t>
  </si>
  <si>
    <t>75-97-8</t>
  </si>
  <si>
    <t>DIISOBUTYL KETONE</t>
  </si>
  <si>
    <t>108-83-8</t>
  </si>
  <si>
    <t>DIISOPROPYL KETONE</t>
  </si>
  <si>
    <t>565-80-0</t>
  </si>
  <si>
    <t>PROPANAL</t>
  </si>
  <si>
    <t>123-38-6</t>
  </si>
  <si>
    <t>BUTANAL</t>
  </si>
  <si>
    <t>123-72-8</t>
  </si>
  <si>
    <t>PENTANAL</t>
  </si>
  <si>
    <t>110-62-3</t>
  </si>
  <si>
    <t>HEXANAL</t>
  </si>
  <si>
    <t>66-25-1</t>
  </si>
  <si>
    <t>HEPTANAL</t>
  </si>
  <si>
    <t>111-71-7</t>
  </si>
  <si>
    <t>DIISOPROPYL ETHER</t>
  </si>
  <si>
    <t>108-20-3</t>
  </si>
  <si>
    <t>DI-N-BUTYL ETHER</t>
  </si>
  <si>
    <t>142-96-1</t>
  </si>
  <si>
    <t>DI-SEC-BUTYL ETHER</t>
  </si>
  <si>
    <t>6863-58-7</t>
  </si>
  <si>
    <t>METHYL ETHYL ETHER</t>
  </si>
  <si>
    <t>540-67-0</t>
  </si>
  <si>
    <t>METHYL N-PROPYL ETHER</t>
  </si>
  <si>
    <t>557-17-5</t>
  </si>
  <si>
    <t>ISOPROPYL BUTYL ETHER</t>
  </si>
  <si>
    <t>1860-27-1</t>
  </si>
  <si>
    <t>METHYL ISOBUTYL ETHER</t>
  </si>
  <si>
    <t>625-44-5</t>
  </si>
  <si>
    <t>METHYL ISOPROPYL ETHER</t>
  </si>
  <si>
    <t>598-53-8</t>
  </si>
  <si>
    <t>TERT-BUTYL ETHYL ETHER</t>
  </si>
  <si>
    <t>637-92-3</t>
  </si>
  <si>
    <t>ETHYL TERT-PENTYL ETHER</t>
  </si>
  <si>
    <t>919-94-8</t>
  </si>
  <si>
    <t>BUTYL VINYL ETHER</t>
  </si>
  <si>
    <t>111-34-2</t>
  </si>
  <si>
    <t>ANISOLE</t>
  </si>
  <si>
    <t>100-66-3</t>
  </si>
  <si>
    <t>ISOPROPYL ACETATE</t>
  </si>
  <si>
    <t>108-21-4</t>
  </si>
  <si>
    <t>N-BUTYL ACETATE</t>
  </si>
  <si>
    <t>123-86-4</t>
  </si>
  <si>
    <t>ISOBUTYL ACETATE</t>
  </si>
  <si>
    <t>110-19-0</t>
  </si>
  <si>
    <t>N-PENTYL ACETATE</t>
  </si>
  <si>
    <t>628-63-7</t>
  </si>
  <si>
    <t>VINYL ACETATE</t>
  </si>
  <si>
    <t>108-05-4</t>
  </si>
  <si>
    <t>N-HEXYL ACETATE</t>
  </si>
  <si>
    <t>142-92-7</t>
  </si>
  <si>
    <t>1-PENTANOL</t>
  </si>
  <si>
    <t>71-41-0</t>
  </si>
  <si>
    <t>2-PENTANOL</t>
  </si>
  <si>
    <t>6032-29-7</t>
  </si>
  <si>
    <t>2-METHYL-1-BUTANOL</t>
  </si>
  <si>
    <t>137-32-6</t>
  </si>
  <si>
    <t>2,2-DIMETHYL-1-PROPANOL</t>
  </si>
  <si>
    <t>75-84-3</t>
  </si>
  <si>
    <t>1-HEXANOL</t>
  </si>
  <si>
    <t>111-27-3</t>
  </si>
  <si>
    <t>1-HEPTANOL</t>
  </si>
  <si>
    <t>111-70-6</t>
  </si>
  <si>
    <t>1,4-BUTANEDIOL</t>
  </si>
  <si>
    <t>110-63-4</t>
  </si>
  <si>
    <t>METHYL MERCAPTAN</t>
  </si>
  <si>
    <t>74-93-1</t>
  </si>
  <si>
    <t>N-PROPYL MERCAPTAN</t>
  </si>
  <si>
    <t>107-03-9</t>
  </si>
  <si>
    <t>TERT-BUTYL MERCAPTAN</t>
  </si>
  <si>
    <t>75-66-1</t>
  </si>
  <si>
    <t>ISOBUTYL MERCAPTAN</t>
  </si>
  <si>
    <t>513-44-0</t>
  </si>
  <si>
    <t>SEC-BUTYL MERCAPTAN</t>
  </si>
  <si>
    <t>513-53-1</t>
  </si>
  <si>
    <t>N-HEXYL MERCAPTAN</t>
  </si>
  <si>
    <t>111-31-9</t>
  </si>
  <si>
    <t>METHYL ETHYL SULFIDE</t>
  </si>
  <si>
    <t>624-89-5</t>
  </si>
  <si>
    <t>METHYL N-PROPYL SULFIDE</t>
  </si>
  <si>
    <t>3877-15-4</t>
  </si>
  <si>
    <t>METHYL T-BUTYL SULFIDE</t>
  </si>
  <si>
    <t>6163-64-0</t>
  </si>
  <si>
    <t>METHYL T-PENTYL SULFIDE</t>
  </si>
  <si>
    <t>13286-92-5</t>
  </si>
  <si>
    <t>DI-N-PROPYL SULFIDE</t>
  </si>
  <si>
    <t>111-47-7</t>
  </si>
  <si>
    <t>DIETHYL SULFIDE</t>
  </si>
  <si>
    <t>352-93-2</t>
  </si>
  <si>
    <t>DIETHYL DISULFIDE</t>
  </si>
  <si>
    <t>110-81-6</t>
  </si>
  <si>
    <t>DIMETHYL DISULFIDE</t>
  </si>
  <si>
    <t>624-92-0</t>
  </si>
  <si>
    <t>DI-N-PROPYL DISULFIDE</t>
  </si>
  <si>
    <t>629-19-6</t>
  </si>
  <si>
    <t>DI-TERT-BUTYL DISULFIDE</t>
  </si>
  <si>
    <t>110-06-5</t>
  </si>
  <si>
    <t>ETHYL METHYL DISULFIDE</t>
  </si>
  <si>
    <t>20333-39-5</t>
  </si>
  <si>
    <t>ETHYL PROPYL DISULFIDE</t>
  </si>
  <si>
    <t>30453-31-7</t>
  </si>
  <si>
    <t>DIPHENYL DISULFIDE</t>
  </si>
  <si>
    <t>882-33-7</t>
  </si>
  <si>
    <t>MONOETHANOLAMINE</t>
  </si>
  <si>
    <t>141-43-5</t>
  </si>
  <si>
    <t>DIETHANOLAMINE</t>
  </si>
  <si>
    <t>111-42-2</t>
  </si>
  <si>
    <t>TRIETHANOLAMINE</t>
  </si>
  <si>
    <t>102-71-6</t>
  </si>
  <si>
    <t>ETHYLENEDIAMINE</t>
  </si>
  <si>
    <t>107-15-3</t>
  </si>
  <si>
    <t>DIISOPROPYLAMINE</t>
  </si>
  <si>
    <t>108-18-9</t>
  </si>
  <si>
    <t>N-AMINOETHYL PIPERAZINE</t>
  </si>
  <si>
    <t>140-31-8</t>
  </si>
  <si>
    <t>DIETHYLENETRIAMINE</t>
  </si>
  <si>
    <t>111-40-0</t>
  </si>
  <si>
    <t>N-AMINOETHYL ETHANOLAMINE</t>
  </si>
  <si>
    <t>111-41-1</t>
  </si>
  <si>
    <t>P-PHENYLENEDIAMINE</t>
  </si>
  <si>
    <t>106-50-3</t>
  </si>
  <si>
    <t>PIPERAZINE</t>
  </si>
  <si>
    <t>110-85-0</t>
  </si>
  <si>
    <t>METHYLETHANOLAMINE</t>
  </si>
  <si>
    <t>109-83-1</t>
  </si>
  <si>
    <t>DIMETHYLETHANOLAMINE</t>
  </si>
  <si>
    <t>108-01-0</t>
  </si>
  <si>
    <t>NITROMETHANE</t>
  </si>
  <si>
    <t>75-52-5</t>
  </si>
  <si>
    <t>NITROETHANE</t>
  </si>
  <si>
    <t>79-24-3</t>
  </si>
  <si>
    <t>1-NITROPROPANE</t>
  </si>
  <si>
    <t>108-03-2</t>
  </si>
  <si>
    <t>2-NITROPROPANE</t>
  </si>
  <si>
    <t>79-46-9</t>
  </si>
  <si>
    <t>1-NITROBUTANE</t>
  </si>
  <si>
    <t>627-05-4</t>
  </si>
  <si>
    <t>O-NITROTOLUENE</t>
  </si>
  <si>
    <t>88-72-2</t>
  </si>
  <si>
    <t>P-NITROTOLUENE</t>
  </si>
  <si>
    <t>99-99-0</t>
  </si>
  <si>
    <t>M-NITROTOLUENE</t>
  </si>
  <si>
    <t>99-08-1</t>
  </si>
  <si>
    <t>2,4-DINITROTOLUENE</t>
  </si>
  <si>
    <t>121-14-2</t>
  </si>
  <si>
    <t>2,6-DINITROTOLUENE</t>
  </si>
  <si>
    <t>606-20-2</t>
  </si>
  <si>
    <t>3,4-DINITROTOLUENE</t>
  </si>
  <si>
    <t>610-39-9</t>
  </si>
  <si>
    <t>2,5-DINITROTOLUENE</t>
  </si>
  <si>
    <t>619-15-8</t>
  </si>
  <si>
    <t>3,5-DINITROTOLUENE</t>
  </si>
  <si>
    <t>618-85-9</t>
  </si>
  <si>
    <t>2,4,6-TRINITROTOLUENE</t>
  </si>
  <si>
    <t>118-96-7</t>
  </si>
  <si>
    <t>OXALIC ACID</t>
  </si>
  <si>
    <t>144-62-7</t>
  </si>
  <si>
    <t>ACRYLIC ACID</t>
  </si>
  <si>
    <t>79-10-7</t>
  </si>
  <si>
    <t>METHACRYLIC ACID</t>
  </si>
  <si>
    <t>79-41-4</t>
  </si>
  <si>
    <t>BENZOIC ACID</t>
  </si>
  <si>
    <t>65-85-0</t>
  </si>
  <si>
    <t>O-TOLUIC ACID</t>
  </si>
  <si>
    <t>118-90-1</t>
  </si>
  <si>
    <t>P-TOLUIC ACID</t>
  </si>
  <si>
    <t>99-94-5</t>
  </si>
  <si>
    <t>SALICYLIC ACID</t>
  </si>
  <si>
    <t>69-72-7</t>
  </si>
  <si>
    <t>ADIPIC ACID</t>
  </si>
  <si>
    <t>124-04-9</t>
  </si>
  <si>
    <t>PHTHALIC ACID</t>
  </si>
  <si>
    <t>88-99-3</t>
  </si>
  <si>
    <t>MALEIC ACID</t>
  </si>
  <si>
    <t>110-16-7</t>
  </si>
  <si>
    <t>TEREPHTHALIC ACID</t>
  </si>
  <si>
    <t>100-21-0</t>
  </si>
  <si>
    <t>ACETIC ANHYDRIDE</t>
  </si>
  <si>
    <t>108-24-7</t>
  </si>
  <si>
    <t>MALEIC ANHYDRIDE</t>
  </si>
  <si>
    <t>108-31-6</t>
  </si>
  <si>
    <t>KETENE</t>
  </si>
  <si>
    <t>463-51-4</t>
  </si>
  <si>
    <t>METHYL METHACRYLATE</t>
  </si>
  <si>
    <t>80-62-6</t>
  </si>
  <si>
    <t>DIMETHYL TEREPHTHALATE</t>
  </si>
  <si>
    <t>120-61-6</t>
  </si>
  <si>
    <t>1,2-PROPYLENE OXIDE</t>
  </si>
  <si>
    <t>75-56-9</t>
  </si>
  <si>
    <t>CUMENE HYDROPEROXIDE</t>
  </si>
  <si>
    <t>80-15-9</t>
  </si>
  <si>
    <t>PROPIONITRILE</t>
  </si>
  <si>
    <t>107-12-0</t>
  </si>
  <si>
    <t>DIMETHYL CARBONATE</t>
  </si>
  <si>
    <t>616-38-6</t>
  </si>
  <si>
    <t>DIETHYL CARBONATE</t>
  </si>
  <si>
    <t>105-58-8</t>
  </si>
  <si>
    <t>METHYL ETHYL CARBONATE</t>
  </si>
  <si>
    <t>623-53-0</t>
  </si>
  <si>
    <t>METHYL PHENYL CARBONATE</t>
  </si>
  <si>
    <t>13509-27-8</t>
  </si>
  <si>
    <t>ETHYL PHENYL CARBONATE</t>
  </si>
  <si>
    <t>3878-46-4</t>
  </si>
  <si>
    <t>DIPHENYL CARBONATE</t>
  </si>
  <si>
    <t>102-09-0</t>
  </si>
  <si>
    <t>ETHYLENE CARBONATE</t>
  </si>
  <si>
    <t>96-49-1</t>
  </si>
  <si>
    <t>PROPYLENE CARBONATE</t>
  </si>
  <si>
    <t>108-32-7</t>
  </si>
  <si>
    <t>2-METHYL-1-HEPTENE</t>
  </si>
  <si>
    <t>15870-10-7</t>
  </si>
  <si>
    <t>2-METHOXY-2-METHYL-HEPTANE</t>
  </si>
  <si>
    <t>76589-16-7</t>
  </si>
  <si>
    <t>2-METHYL-2-HEPTANOL</t>
  </si>
  <si>
    <t>625-25-2</t>
  </si>
  <si>
    <t>METHYLAL</t>
  </si>
  <si>
    <t>109-87-5</t>
  </si>
  <si>
    <t>METHYL DIETHANOLAMINE</t>
  </si>
  <si>
    <t>105-59-9</t>
  </si>
  <si>
    <t>DIETHYLETHANOLAMINE</t>
  </si>
  <si>
    <t>100-37-8</t>
  </si>
  <si>
    <t>DIISOPROPANOLAMINE</t>
  </si>
  <si>
    <t>110-97-4</t>
  </si>
  <si>
    <t>CYCLOBUTANE</t>
  </si>
  <si>
    <t>287-23-0</t>
  </si>
  <si>
    <t>ISOPROPYL MERCAPTAN</t>
  </si>
  <si>
    <t>75-33-2</t>
  </si>
  <si>
    <t>GLYCEROL</t>
  </si>
  <si>
    <t>56-81-5</t>
  </si>
  <si>
    <t>N-EICOSANE</t>
  </si>
  <si>
    <t>112-95-8</t>
  </si>
  <si>
    <t>DIBUTYL CARBONATE</t>
  </si>
  <si>
    <t>542-52-9</t>
  </si>
  <si>
    <t>7783-06-4</t>
  </si>
  <si>
    <t>7440-01-9</t>
  </si>
  <si>
    <t>7446-09-5</t>
  </si>
  <si>
    <t>7446-11-9</t>
  </si>
  <si>
    <t>5911-04-6</t>
  </si>
  <si>
    <t>2207-01-4</t>
  </si>
  <si>
    <t>2207-03-6</t>
  </si>
  <si>
    <t>2207-04-7</t>
  </si>
  <si>
    <t>2870-04-4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</si>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</sst>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_-* #,##0_-;\-* #,##0_-;_-* &quot;-&quot;??_-;_-@_-"/>
    <numFmt numFmtId="166" formatCode="_-0.000E+00;\-0.000E+00"/>
    <numFmt numFmtId="167" formatCode="0.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64646"/>
        <bgColor indexed="64"/>
      </patternFill>
    </fill>
    <fill>
      <patternFill patternType="solid">
        <fgColor rgb="FFD3F0E0"/>
        <bgColor indexed="64"/>
      </patternFill>
    </fill>
    <fill>
      <patternFill patternType="solid">
        <fgColor rgb="FF86BFA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E0EEF9"/>
        <bgColor indexed="64"/>
      </patternFill>
    </fill>
    <fill>
      <patternFill patternType="solid">
        <fgColor rgb="FF0078D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64" fontId="0" fillId="0" borderId="0" xfId="1" applyNumberFormat="1" applyFont="1"/>
    <xf numFmtId="0" fontId="0" fillId="0" borderId="0" xfId="0" quotePrefix="1"/>
    <xf numFmtId="165" fontId="0" fillId="0" borderId="0" xfId="1" applyNumberFormat="1" applyFont="1"/>
    <xf numFmtId="166" fontId="0" fillId="0" borderId="0" xfId="1" applyNumberFormat="1" applyFont="1"/>
    <xf numFmtId="49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78D4"/>
      <color rgb="FFE0EEF9"/>
      <color rgb="FFA9A9A9"/>
      <color rgb="FF86BFA0"/>
      <color rgb="FFD3F0E0"/>
      <color rgb="FF464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9" row="3">
    <wetp:webextensionref xmlns:r="http://schemas.openxmlformats.org/officeDocument/2006/relationships" r:id="rId1"/>
  </wetp:taskpane>
  <wetp:taskpane dockstate="right" visibility="0" width="525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DA63A7B-7977-4A7E-A78F-2892BCE8B61F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AA41809-CBE8-4CA2-839C-5F9ED1358628}">
  <we:reference id="wa104100404" version="3.0.0.1" store="en-US" storeType="OMEX"/>
  <we:alternateReferences>
    <we:reference id="WA104100404" version="3.0.0.1" store="" storeType="OMEX"/>
  </we:alternateReferences>
  <we:properties>
    <we:property name="UniqueID" value="&quot;20235101686382018353&quot;"/>
    <we:property name="YD4HBT1CARtzDhoLLFFeAUNtJxcy" value="&quot;&quot;"/>
    <we:property name="YD4HBT1CARtzDhoLLFFeAUNtGxo0RhAQbwQaHw==" value="&quot;dx4v&quot;"/>
    <we:property name="YD4HBT1CARtzDhoLLFFeAUNtJRQgfRwM" value="&quot;AQ==&quot;"/>
    <we:property name="YD4HBT1CARtzDhoLLFFeAUNtGxo0RhAQbw8RHw==" value="&quot;AQ==&quot;"/>
    <we:property name="YD4HBT1CARtzDhoLLFFeAUNtGxo0RhAQbxEGHQ==" value="&quot;AGJYRWgARVM=&quot;"/>
    <we:property name="YD4HBT1CARtzDhoLLFFeAUNtGxo0RhAQbxIXFA==" value="&quot;AQ==&quot;"/>
    <we:property name="YD4HBT1CARtzDhoLLFFeAUNtGxo0RhAQbxMYAA==" value="&quot;AA==&quot;"/>
    <we:property name="YD4HBT1CARtzDhoLLFFeAUNtGxo0RhAQbxUbFA==" value="&quot;AGJYRA==&quot;"/>
    <we:property name="YD4HBT1CARtzDhoLLFFeAUNtGxo0RhAQbwICHw==" value="&quot;AGJYRWgB&quot;"/>
    <we:property name="YD4HBT1CARtzDhoLLFFeAUNtGxo0RhAQbwwHFA==" value="&quot;AA==&quot;"/>
    <we:property name="YD4HBT1CARtzDhoLLFFeAUNtGxo0RhAQbxIHAg==" value="&quot;AXxY&quot;"/>
    <we:property name="YD4HBT1CARtzDhoLLFFeAUNtGxo0RhAQbxMHHA==" value="&quot;AA==&quot;"/>
    <we:property name="YD4HBT1CARtzDhoLLFFeAUNtGxo0RhAQbwwGDA==" value="&quot;AGJYQm0=&quot;"/>
    <we:property name="YD4HBT1CARtzDhoLLFFeAUNtGxo0RhAQbwwaEQ==" value="&quot;A3w=&quot;"/>
    <we:property name="YD4HBT1CARtzDhoLLFFeAUNtGxo0RhAQbxMWDg==" value="&quot;AQ==&quot;"/>
    <we:property name="YD4HBT1CARtzDhoLLFFeAUNtGxo0RhAQbw8ACg==" value="&quot;Ag==&quot;"/>
    <we:property name="YD4HBT1CARtzDhoLLFFeAUNtGxo0RhAQbwAXGw==" value="&quot;AGJYRWk=&quot;"/>
    <we:property name="YD4HBT1CARtzDhoLLFFeAUNtGxo0RhAQbxMRCw==" value="&quot;BQ==&quot;"/>
    <we:property name="YD4HBT1CARtzDhoLLFFeAUNtGxo0RhAQbwAGCw==" value="&quot;AQ==&quot;"/>
    <we:property name="YD4HBT1CARtzDhoLLFFeAUNtGxo0RhAQbxIAGQ==" value="&quot;AA==&quot;"/>
    <we:property name="YD4HBT1CARtzDhoLLFFeAUNtGxo0RhAQbwwRDA==" value="&quot;Ag==&quot;"/>
    <we:property name="YD4HBT1CARtzDhoLLFFeAUNtGxo0RhAQbxIbGw==" value="&quot;AA==&quot;"/>
    <we:property name="YD4HBT1CARtzDhoLLFFeAUNtGxo0RhAQbw0EDA==" value="&quot;AA==&quot;"/>
    <we:property name="YD4HBT1CARtzDhoLLFFeAUNtGxo0RhAQbw0ECA==" value="&quot;AA==&quot;"/>
    <we:property name="YD4HBT1CARtzDhoLLFFeAUNtGxo0RhAQbwYVCA==" value="&quot;AGJYRWgARVM=&quot;"/>
    <we:property name="YD4HBT1CARtzDhoLLFFeAUNtGxo0RhAQbwgECw==" value="&quot;AGJRTA==&quot;"/>
    <we:property name="YD4HBT1CARtzDhoLLFFeAUNtGxo0RhAQbwcRGQ==" value="&quot;AGJYRWgARVM=&quot;"/>
    <we:property name="YD4HBT1CARtzDhoLLFFeAUNtGxo0RhAQbwgEEQ==" value="&quot;AQ==&quot;"/>
    <we:property name="YD4HBT1CARtzDhoLLFFeAUNtGxo0RhAQbwgEHA==" value="&quot;Aw==&quot;"/>
  </we:properties>
  <we:bindings>
    <we:binding id="refEdit" type="matrix" appref="{AF675B87-DC78-4F2C-95B9-C36E4C63D6CB}"/>
    <we:binding id="Worker" type="matrix" appref="{6BEA4EA2-4A65-471E-B9D2-0893C724A9A5}"/>
  </we:bindings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F10A9-E9B8-48FF-A1FE-24CBAF265F15}">
  <sheetPr codeName="Sheet13" filterMode="1"/>
  <dimension ref="A1:C433"/>
  <sheetViews>
    <sheetView workbookViewId="0">
      <selection activeCell="A20" sqref="A20"/>
    </sheetView>
  </sheetViews>
  <sheetFormatPr defaultRowHeight="14.5" x14ac:dyDescent="0.35"/>
  <cols>
    <col min="1" max="1" width="32.1796875" bestFit="1" customWidth="1"/>
    <col min="2" max="2" width="11.1796875" bestFit="1" customWidth="1"/>
    <col min="3" max="3" width="8.81640625" bestFit="1" customWidth="1"/>
  </cols>
  <sheetData>
    <row r="1" spans="1:3" x14ac:dyDescent="0.35">
      <c r="A1" s="1" t="s">
        <v>1</v>
      </c>
      <c r="B1" s="1" t="s">
        <v>2</v>
      </c>
      <c r="C1" s="1" t="s">
        <v>61</v>
      </c>
    </row>
    <row r="2" spans="1:3" x14ac:dyDescent="0.35">
      <c r="A2" t="s">
        <v>62</v>
      </c>
      <c r="B2" s="6" t="s">
        <v>63</v>
      </c>
      <c r="C2" s="7">
        <v>28.96</v>
      </c>
    </row>
    <row r="3" spans="1:3" x14ac:dyDescent="0.35">
      <c r="A3" t="s">
        <v>64</v>
      </c>
      <c r="B3" s="6" t="s">
        <v>65</v>
      </c>
      <c r="C3" s="7">
        <v>39.948</v>
      </c>
    </row>
    <row r="4" spans="1:3" x14ac:dyDescent="0.35">
      <c r="A4" t="s">
        <v>66</v>
      </c>
      <c r="B4" s="6" t="s">
        <v>67</v>
      </c>
      <c r="C4" s="7">
        <v>159.80799999999999</v>
      </c>
    </row>
    <row r="5" spans="1:3" x14ac:dyDescent="0.35">
      <c r="A5" t="s">
        <v>68</v>
      </c>
      <c r="B5" s="6" t="s">
        <v>69</v>
      </c>
      <c r="C5" s="7">
        <v>153.8227</v>
      </c>
    </row>
    <row r="6" spans="1:3" x14ac:dyDescent="0.35">
      <c r="A6" t="s">
        <v>70</v>
      </c>
      <c r="B6" s="6" t="s">
        <v>71</v>
      </c>
      <c r="C6" s="7">
        <v>28.010100000000001</v>
      </c>
    </row>
    <row r="7" spans="1:3" x14ac:dyDescent="0.35">
      <c r="A7" t="s">
        <v>72</v>
      </c>
      <c r="B7" s="6" t="s">
        <v>73</v>
      </c>
      <c r="C7" s="7">
        <v>44.009500000000003</v>
      </c>
    </row>
    <row r="8" spans="1:3" x14ac:dyDescent="0.35">
      <c r="A8" t="s">
        <v>74</v>
      </c>
      <c r="B8" s="6" t="s">
        <v>75</v>
      </c>
      <c r="C8" s="7">
        <v>76.140699999999995</v>
      </c>
    </row>
    <row r="9" spans="1:3" x14ac:dyDescent="0.35">
      <c r="A9" t="s">
        <v>76</v>
      </c>
      <c r="B9" s="6" t="s">
        <v>77</v>
      </c>
      <c r="C9" s="7">
        <v>98.9161</v>
      </c>
    </row>
    <row r="10" spans="1:3" x14ac:dyDescent="0.35">
      <c r="A10" t="s">
        <v>78</v>
      </c>
      <c r="B10" s="6" t="s">
        <v>79</v>
      </c>
      <c r="C10" s="7">
        <v>181.83279999999999</v>
      </c>
    </row>
    <row r="11" spans="1:3" x14ac:dyDescent="0.35">
      <c r="A11" t="s">
        <v>80</v>
      </c>
      <c r="B11" s="6" t="s">
        <v>81</v>
      </c>
      <c r="C11" s="7">
        <v>36.460940000000001</v>
      </c>
    </row>
    <row r="12" spans="1:3" x14ac:dyDescent="0.35">
      <c r="A12" t="s">
        <v>82</v>
      </c>
      <c r="B12" s="6" t="s">
        <v>83</v>
      </c>
      <c r="C12" s="7">
        <v>70.906000000000006</v>
      </c>
    </row>
    <row r="13" spans="1:3" x14ac:dyDescent="0.35">
      <c r="A13" t="s">
        <v>84</v>
      </c>
      <c r="B13" s="6" t="s">
        <v>85</v>
      </c>
      <c r="C13" s="7">
        <v>127.91240000000001</v>
      </c>
    </row>
    <row r="14" spans="1:3" x14ac:dyDescent="0.35">
      <c r="A14" t="s">
        <v>86</v>
      </c>
      <c r="B14" s="6" t="s">
        <v>87</v>
      </c>
      <c r="C14" s="7">
        <v>2.0158800000000001</v>
      </c>
    </row>
    <row r="15" spans="1:3" x14ac:dyDescent="0.35">
      <c r="A15" t="s">
        <v>88</v>
      </c>
      <c r="B15" s="6" t="s">
        <v>89</v>
      </c>
      <c r="C15" s="7">
        <v>18.015280000000001</v>
      </c>
    </row>
    <row r="16" spans="1:3" x14ac:dyDescent="0.35">
      <c r="A16" t="s">
        <v>90</v>
      </c>
      <c r="B16" s="6" t="s">
        <v>913</v>
      </c>
      <c r="C16" s="7">
        <v>34.080880000000001</v>
      </c>
    </row>
    <row r="17" spans="1:3" x14ac:dyDescent="0.35">
      <c r="A17" t="s">
        <v>17</v>
      </c>
      <c r="B17" s="6" t="s">
        <v>18</v>
      </c>
      <c r="C17" s="7">
        <v>17.030519999999999</v>
      </c>
    </row>
    <row r="18" spans="1:3" x14ac:dyDescent="0.35">
      <c r="A18" t="s">
        <v>91</v>
      </c>
      <c r="B18" s="6" t="s">
        <v>914</v>
      </c>
      <c r="C18" s="7">
        <v>20.1797</v>
      </c>
    </row>
    <row r="19" spans="1:3" x14ac:dyDescent="0.35">
      <c r="A19" t="s">
        <v>92</v>
      </c>
      <c r="B19" s="6" t="s">
        <v>93</v>
      </c>
      <c r="C19" s="7">
        <v>63.012839999999997</v>
      </c>
    </row>
    <row r="20" spans="1:3" x14ac:dyDescent="0.35">
      <c r="A20" t="s">
        <v>94</v>
      </c>
      <c r="B20" s="6" t="s">
        <v>95</v>
      </c>
      <c r="C20" s="7">
        <v>30.0061</v>
      </c>
    </row>
    <row r="21" spans="1:3" x14ac:dyDescent="0.35">
      <c r="A21" t="s">
        <v>96</v>
      </c>
      <c r="B21" s="6" t="s">
        <v>97</v>
      </c>
      <c r="C21" s="7">
        <v>46.005499999999998</v>
      </c>
    </row>
    <row r="22" spans="1:3" x14ac:dyDescent="0.35">
      <c r="A22" t="s">
        <v>98</v>
      </c>
      <c r="B22" s="6" t="s">
        <v>99</v>
      </c>
      <c r="C22" s="7">
        <v>28.013400000000001</v>
      </c>
    </row>
    <row r="23" spans="1:3" x14ac:dyDescent="0.35">
      <c r="A23" t="s">
        <v>100</v>
      </c>
      <c r="B23" s="6" t="s">
        <v>101</v>
      </c>
      <c r="C23" s="7">
        <v>44.012799999999999</v>
      </c>
    </row>
    <row r="24" spans="1:3" x14ac:dyDescent="0.35">
      <c r="A24" t="s">
        <v>102</v>
      </c>
      <c r="B24" s="6" t="s">
        <v>103</v>
      </c>
      <c r="C24" s="7">
        <v>31.998799999999999</v>
      </c>
    </row>
    <row r="25" spans="1:3" x14ac:dyDescent="0.35">
      <c r="A25" t="s">
        <v>104</v>
      </c>
      <c r="B25" s="6" t="s">
        <v>915</v>
      </c>
      <c r="C25" s="7">
        <v>64.063800000000001</v>
      </c>
    </row>
    <row r="26" spans="1:3" x14ac:dyDescent="0.35">
      <c r="A26" t="s">
        <v>105</v>
      </c>
      <c r="B26" s="6" t="s">
        <v>916</v>
      </c>
      <c r="C26" s="7">
        <v>80.063199999999995</v>
      </c>
    </row>
    <row r="27" spans="1:3" x14ac:dyDescent="0.35">
      <c r="A27" t="s">
        <v>106</v>
      </c>
      <c r="B27" s="6" t="s">
        <v>107</v>
      </c>
      <c r="C27" s="7">
        <v>119.3776</v>
      </c>
    </row>
    <row r="28" spans="1:3" x14ac:dyDescent="0.35">
      <c r="A28" t="s">
        <v>108</v>
      </c>
      <c r="B28" s="6" t="s">
        <v>109</v>
      </c>
      <c r="C28" s="7">
        <v>27.02534</v>
      </c>
    </row>
    <row r="29" spans="1:3" x14ac:dyDescent="0.35">
      <c r="A29" t="s">
        <v>110</v>
      </c>
      <c r="B29" s="6" t="s">
        <v>111</v>
      </c>
      <c r="C29" s="7">
        <v>30.025980000000001</v>
      </c>
    </row>
    <row r="30" spans="1:3" x14ac:dyDescent="0.35">
      <c r="A30" t="s">
        <v>112</v>
      </c>
      <c r="B30" s="6" t="s">
        <v>113</v>
      </c>
      <c r="C30" s="7">
        <v>50.487520000000004</v>
      </c>
    </row>
    <row r="31" spans="1:3" x14ac:dyDescent="0.35">
      <c r="A31" t="s">
        <v>114</v>
      </c>
      <c r="B31" s="6" t="s">
        <v>115</v>
      </c>
      <c r="C31" s="7">
        <v>141.93899999999999</v>
      </c>
    </row>
    <row r="32" spans="1:3" x14ac:dyDescent="0.35">
      <c r="A32" t="s">
        <v>116</v>
      </c>
      <c r="B32" s="6" t="s">
        <v>117</v>
      </c>
      <c r="C32" s="7">
        <v>16.042459999999998</v>
      </c>
    </row>
    <row r="33" spans="1:3" x14ac:dyDescent="0.35">
      <c r="A33" t="s">
        <v>118</v>
      </c>
      <c r="B33" s="6" t="s">
        <v>119</v>
      </c>
      <c r="C33" s="7">
        <v>32.04186</v>
      </c>
    </row>
    <row r="34" spans="1:3" x14ac:dyDescent="0.35">
      <c r="A34" t="s">
        <v>120</v>
      </c>
      <c r="B34" s="6" t="s">
        <v>121</v>
      </c>
      <c r="C34" s="7">
        <v>31.057099999999998</v>
      </c>
    </row>
    <row r="35" spans="1:3" x14ac:dyDescent="0.35">
      <c r="A35" t="s">
        <v>122</v>
      </c>
      <c r="B35" s="6" t="s">
        <v>123</v>
      </c>
      <c r="C35" s="7">
        <v>131.38829999999999</v>
      </c>
    </row>
    <row r="36" spans="1:3" x14ac:dyDescent="0.35">
      <c r="A36" t="s">
        <v>124</v>
      </c>
      <c r="B36" s="6" t="s">
        <v>125</v>
      </c>
      <c r="C36" s="7">
        <v>147.3877</v>
      </c>
    </row>
    <row r="37" spans="1:3" x14ac:dyDescent="0.35">
      <c r="A37" t="s">
        <v>126</v>
      </c>
      <c r="B37" s="6" t="s">
        <v>127</v>
      </c>
      <c r="C37" s="7">
        <v>147.3877</v>
      </c>
    </row>
    <row r="38" spans="1:3" x14ac:dyDescent="0.35">
      <c r="A38" t="s">
        <v>128</v>
      </c>
      <c r="B38" s="6" t="s">
        <v>129</v>
      </c>
      <c r="C38" s="7">
        <v>26.037279999999999</v>
      </c>
    </row>
    <row r="39" spans="1:3" x14ac:dyDescent="0.35">
      <c r="A39" t="s">
        <v>130</v>
      </c>
      <c r="B39" s="6" t="s">
        <v>131</v>
      </c>
      <c r="C39" s="7">
        <v>112.9427</v>
      </c>
    </row>
    <row r="40" spans="1:3" x14ac:dyDescent="0.35">
      <c r="A40" t="s">
        <v>132</v>
      </c>
      <c r="B40" s="6" t="s">
        <v>133</v>
      </c>
      <c r="C40" s="7">
        <v>62.498220000000003</v>
      </c>
    </row>
    <row r="41" spans="1:3" x14ac:dyDescent="0.35">
      <c r="A41" t="s">
        <v>134</v>
      </c>
      <c r="B41" s="6" t="s">
        <v>135</v>
      </c>
      <c r="C41" s="7">
        <v>78.497619999999998</v>
      </c>
    </row>
    <row r="42" spans="1:3" x14ac:dyDescent="0.35">
      <c r="A42" t="s">
        <v>136</v>
      </c>
      <c r="B42" s="6" t="s">
        <v>137</v>
      </c>
      <c r="C42" s="7">
        <v>133.4042</v>
      </c>
    </row>
    <row r="43" spans="1:3" x14ac:dyDescent="0.35">
      <c r="A43" t="s">
        <v>138</v>
      </c>
      <c r="B43" s="6" t="s">
        <v>139</v>
      </c>
      <c r="C43" s="7">
        <v>41.051920000000003</v>
      </c>
    </row>
    <row r="44" spans="1:3" x14ac:dyDescent="0.35">
      <c r="A44" t="s">
        <v>140</v>
      </c>
      <c r="B44" s="6" t="s">
        <v>141</v>
      </c>
      <c r="C44" s="7">
        <v>28.053159999999998</v>
      </c>
    </row>
    <row r="45" spans="1:3" x14ac:dyDescent="0.35">
      <c r="A45" t="s">
        <v>142</v>
      </c>
      <c r="B45" s="6" t="s">
        <v>143</v>
      </c>
      <c r="C45" s="7">
        <v>98.959159999999997</v>
      </c>
    </row>
    <row r="46" spans="1:3" x14ac:dyDescent="0.35">
      <c r="A46" t="s">
        <v>144</v>
      </c>
      <c r="B46" s="6" t="s">
        <v>145</v>
      </c>
      <c r="C46" s="7">
        <v>98.959159999999997</v>
      </c>
    </row>
    <row r="47" spans="1:3" x14ac:dyDescent="0.35">
      <c r="A47" t="s">
        <v>146</v>
      </c>
      <c r="B47" s="6" t="s">
        <v>147</v>
      </c>
      <c r="C47" s="7">
        <v>44.05256</v>
      </c>
    </row>
    <row r="48" spans="1:3" x14ac:dyDescent="0.35">
      <c r="A48" t="s">
        <v>148</v>
      </c>
      <c r="B48" s="6" t="s">
        <v>149</v>
      </c>
      <c r="C48" s="7">
        <v>44.05256</v>
      </c>
    </row>
    <row r="49" spans="1:3" x14ac:dyDescent="0.35">
      <c r="A49" t="s">
        <v>150</v>
      </c>
      <c r="B49" s="6" t="s">
        <v>151</v>
      </c>
      <c r="C49" s="7">
        <v>60.051960000000001</v>
      </c>
    </row>
    <row r="50" spans="1:3" x14ac:dyDescent="0.35">
      <c r="A50" t="s">
        <v>152</v>
      </c>
      <c r="B50" s="6" t="s">
        <v>153</v>
      </c>
      <c r="C50" s="7">
        <v>60.051960000000001</v>
      </c>
    </row>
    <row r="51" spans="1:3" x14ac:dyDescent="0.35">
      <c r="A51" t="s">
        <v>154</v>
      </c>
      <c r="B51" s="6" t="s">
        <v>155</v>
      </c>
      <c r="C51" s="7">
        <v>64.514099999999999</v>
      </c>
    </row>
    <row r="52" spans="1:3" x14ac:dyDescent="0.35">
      <c r="A52" t="s">
        <v>156</v>
      </c>
      <c r="B52" s="6" t="s">
        <v>157</v>
      </c>
      <c r="C52" s="7">
        <v>30.069040000000001</v>
      </c>
    </row>
    <row r="53" spans="1:3" x14ac:dyDescent="0.35">
      <c r="A53" t="s">
        <v>158</v>
      </c>
      <c r="B53" s="6" t="s">
        <v>159</v>
      </c>
      <c r="C53" s="7">
        <v>46.068440000000002</v>
      </c>
    </row>
    <row r="54" spans="1:3" x14ac:dyDescent="0.35">
      <c r="A54" t="s">
        <v>160</v>
      </c>
      <c r="B54" s="6" t="s">
        <v>161</v>
      </c>
      <c r="C54" s="7">
        <v>46.068440000000002</v>
      </c>
    </row>
    <row r="55" spans="1:3" x14ac:dyDescent="0.35">
      <c r="A55" t="s">
        <v>162</v>
      </c>
      <c r="B55" s="6" t="s">
        <v>163</v>
      </c>
      <c r="C55" s="7">
        <v>62.067839999999997</v>
      </c>
    </row>
    <row r="56" spans="1:3" x14ac:dyDescent="0.35">
      <c r="A56" t="s">
        <v>164</v>
      </c>
      <c r="B56" s="6" t="s">
        <v>165</v>
      </c>
      <c r="C56" s="7">
        <v>62.134039999999999</v>
      </c>
    </row>
    <row r="57" spans="1:3" x14ac:dyDescent="0.35">
      <c r="A57" t="s">
        <v>166</v>
      </c>
      <c r="B57" s="6" t="s">
        <v>167</v>
      </c>
      <c r="C57" s="7">
        <v>62.134039999999999</v>
      </c>
    </row>
    <row r="58" spans="1:3" x14ac:dyDescent="0.35">
      <c r="A58" t="s">
        <v>168</v>
      </c>
      <c r="B58" s="6" t="s">
        <v>169</v>
      </c>
      <c r="C58" s="7">
        <v>45.083680000000001</v>
      </c>
    </row>
    <row r="59" spans="1:3" x14ac:dyDescent="0.35">
      <c r="A59" t="s">
        <v>170</v>
      </c>
      <c r="B59" s="6" t="s">
        <v>171</v>
      </c>
      <c r="C59" s="7">
        <v>53.062620000000003</v>
      </c>
    </row>
    <row r="60" spans="1:3" x14ac:dyDescent="0.35">
      <c r="A60" t="s">
        <v>172</v>
      </c>
      <c r="B60" s="6" t="s">
        <v>173</v>
      </c>
      <c r="C60" s="7">
        <v>40.063859999999998</v>
      </c>
    </row>
    <row r="61" spans="1:3" x14ac:dyDescent="0.35">
      <c r="A61" t="s">
        <v>174</v>
      </c>
      <c r="B61" s="6" t="s">
        <v>175</v>
      </c>
      <c r="C61" s="7">
        <v>40.063859999999998</v>
      </c>
    </row>
    <row r="62" spans="1:3" x14ac:dyDescent="0.35">
      <c r="A62" t="s">
        <v>176</v>
      </c>
      <c r="B62" s="6" t="s">
        <v>177</v>
      </c>
      <c r="C62" s="7">
        <v>42.079740000000001</v>
      </c>
    </row>
    <row r="63" spans="1:3" x14ac:dyDescent="0.35">
      <c r="A63" t="s">
        <v>178</v>
      </c>
      <c r="B63" s="6" t="s">
        <v>179</v>
      </c>
      <c r="C63" s="7">
        <v>58.079140000000002</v>
      </c>
    </row>
    <row r="64" spans="1:3" x14ac:dyDescent="0.35">
      <c r="A64" t="s">
        <v>180</v>
      </c>
      <c r="B64" s="6" t="s">
        <v>181</v>
      </c>
      <c r="C64" s="7">
        <v>74.078540000000004</v>
      </c>
    </row>
    <row r="65" spans="1:3" x14ac:dyDescent="0.35">
      <c r="A65" t="s">
        <v>182</v>
      </c>
      <c r="B65" s="6" t="s">
        <v>183</v>
      </c>
      <c r="C65" s="7">
        <v>74.078540000000004</v>
      </c>
    </row>
    <row r="66" spans="1:3" x14ac:dyDescent="0.35">
      <c r="A66" t="s">
        <v>184</v>
      </c>
      <c r="B66" s="6" t="s">
        <v>185</v>
      </c>
      <c r="C66" s="7">
        <v>74.078540000000004</v>
      </c>
    </row>
    <row r="67" spans="1:3" x14ac:dyDescent="0.35">
      <c r="A67" t="s">
        <v>186</v>
      </c>
      <c r="B67" s="6" t="s">
        <v>187</v>
      </c>
      <c r="C67" s="7">
        <v>73.093779999999995</v>
      </c>
    </row>
    <row r="68" spans="1:3" x14ac:dyDescent="0.35">
      <c r="A68" t="s">
        <v>188</v>
      </c>
      <c r="B68" s="6" t="s">
        <v>189</v>
      </c>
      <c r="C68" s="7">
        <v>44.095619999999997</v>
      </c>
    </row>
    <row r="69" spans="1:3" x14ac:dyDescent="0.35">
      <c r="A69" t="s">
        <v>190</v>
      </c>
      <c r="B69" s="6" t="s">
        <v>191</v>
      </c>
      <c r="C69" s="7">
        <v>60.095019999999998</v>
      </c>
    </row>
    <row r="70" spans="1:3" x14ac:dyDescent="0.35">
      <c r="A70" t="s">
        <v>192</v>
      </c>
      <c r="B70" s="6" t="s">
        <v>193</v>
      </c>
      <c r="C70" s="7">
        <v>60.095019999999998</v>
      </c>
    </row>
    <row r="71" spans="1:3" x14ac:dyDescent="0.35">
      <c r="A71" t="s">
        <v>194</v>
      </c>
      <c r="B71" s="6" t="s">
        <v>195</v>
      </c>
      <c r="C71" s="7">
        <v>59.110259999999997</v>
      </c>
    </row>
    <row r="72" spans="1:3" x14ac:dyDescent="0.35">
      <c r="A72" t="s">
        <v>196</v>
      </c>
      <c r="B72" s="6" t="s">
        <v>197</v>
      </c>
      <c r="C72" s="7">
        <v>52.074559999999998</v>
      </c>
    </row>
    <row r="73" spans="1:3" x14ac:dyDescent="0.35">
      <c r="A73" t="s">
        <v>198</v>
      </c>
      <c r="B73" s="6" t="s">
        <v>199</v>
      </c>
      <c r="C73" s="7">
        <v>84.139560000000003</v>
      </c>
    </row>
    <row r="74" spans="1:3" x14ac:dyDescent="0.35">
      <c r="A74" t="s">
        <v>200</v>
      </c>
      <c r="B74" s="6" t="s">
        <v>201</v>
      </c>
      <c r="C74" s="7">
        <v>67.089200000000005</v>
      </c>
    </row>
    <row r="75" spans="1:3" x14ac:dyDescent="0.35">
      <c r="A75" t="s">
        <v>202</v>
      </c>
      <c r="B75" s="6" t="s">
        <v>203</v>
      </c>
      <c r="C75" s="7">
        <v>54.090440000000001</v>
      </c>
    </row>
    <row r="76" spans="1:3" x14ac:dyDescent="0.35">
      <c r="A76" t="s">
        <v>204</v>
      </c>
      <c r="B76" s="6" t="s">
        <v>205</v>
      </c>
      <c r="C76" s="7">
        <v>54.090440000000001</v>
      </c>
    </row>
    <row r="77" spans="1:3" x14ac:dyDescent="0.35">
      <c r="A77" t="s">
        <v>206</v>
      </c>
      <c r="B77" s="6" t="s">
        <v>207</v>
      </c>
      <c r="C77" s="7">
        <v>54.090440000000001</v>
      </c>
    </row>
    <row r="78" spans="1:3" x14ac:dyDescent="0.35">
      <c r="A78" t="s">
        <v>208</v>
      </c>
      <c r="B78" s="6" t="s">
        <v>209</v>
      </c>
      <c r="C78" s="7">
        <v>54.090440000000001</v>
      </c>
    </row>
    <row r="79" spans="1:3" x14ac:dyDescent="0.35">
      <c r="A79" t="s">
        <v>210</v>
      </c>
      <c r="B79" s="6" t="s">
        <v>211</v>
      </c>
      <c r="C79" s="7">
        <v>56.106319999999997</v>
      </c>
    </row>
    <row r="80" spans="1:3" x14ac:dyDescent="0.35">
      <c r="A80" t="s">
        <v>212</v>
      </c>
      <c r="B80" s="6" t="s">
        <v>213</v>
      </c>
      <c r="C80" s="7">
        <v>56.106319999999997</v>
      </c>
    </row>
    <row r="81" spans="1:3" x14ac:dyDescent="0.35">
      <c r="A81" t="s">
        <v>214</v>
      </c>
      <c r="B81" s="6" t="s">
        <v>215</v>
      </c>
      <c r="C81" s="7">
        <v>56.106319999999997</v>
      </c>
    </row>
    <row r="82" spans="1:3" x14ac:dyDescent="0.35">
      <c r="A82" t="s">
        <v>216</v>
      </c>
      <c r="B82" s="6" t="s">
        <v>217</v>
      </c>
      <c r="C82" s="7">
        <v>56.106319999999997</v>
      </c>
    </row>
    <row r="83" spans="1:3" x14ac:dyDescent="0.35">
      <c r="A83" t="s">
        <v>218</v>
      </c>
      <c r="B83" s="6" t="s">
        <v>219</v>
      </c>
      <c r="C83" s="7">
        <v>72.105720000000005</v>
      </c>
    </row>
    <row r="84" spans="1:3" x14ac:dyDescent="0.35">
      <c r="A84" t="s">
        <v>220</v>
      </c>
      <c r="B84" s="6" t="s">
        <v>221</v>
      </c>
      <c r="C84" s="7">
        <v>72.105720000000005</v>
      </c>
    </row>
    <row r="85" spans="1:3" x14ac:dyDescent="0.35">
      <c r="A85" t="s">
        <v>222</v>
      </c>
      <c r="B85" s="6" t="s">
        <v>223</v>
      </c>
      <c r="C85" s="7">
        <v>72.105720000000005</v>
      </c>
    </row>
    <row r="86" spans="1:3" x14ac:dyDescent="0.35">
      <c r="A86" t="s">
        <v>224</v>
      </c>
      <c r="B86" s="6" t="s">
        <v>225</v>
      </c>
      <c r="C86" s="7">
        <v>88.105130000000003</v>
      </c>
    </row>
    <row r="87" spans="1:3" x14ac:dyDescent="0.35">
      <c r="A87" t="s">
        <v>226</v>
      </c>
      <c r="B87" s="6" t="s">
        <v>227</v>
      </c>
      <c r="C87" s="7">
        <v>88.105130000000003</v>
      </c>
    </row>
    <row r="88" spans="1:3" x14ac:dyDescent="0.35">
      <c r="A88" t="s">
        <v>228</v>
      </c>
      <c r="B88" s="6" t="s">
        <v>229</v>
      </c>
      <c r="C88" s="7">
        <v>88.105130000000003</v>
      </c>
    </row>
    <row r="89" spans="1:3" x14ac:dyDescent="0.35">
      <c r="A89" t="s">
        <v>230</v>
      </c>
      <c r="B89" s="6" t="s">
        <v>231</v>
      </c>
      <c r="C89" s="7">
        <v>88.105130000000003</v>
      </c>
    </row>
    <row r="90" spans="1:3" x14ac:dyDescent="0.35">
      <c r="A90" t="s">
        <v>232</v>
      </c>
      <c r="B90" s="6" t="s">
        <v>233</v>
      </c>
      <c r="C90" s="7">
        <v>88.105130000000003</v>
      </c>
    </row>
    <row r="91" spans="1:3" x14ac:dyDescent="0.35">
      <c r="A91" t="s">
        <v>234</v>
      </c>
      <c r="B91" s="6" t="s">
        <v>235</v>
      </c>
      <c r="C91" s="7">
        <v>120.17010000000001</v>
      </c>
    </row>
    <row r="92" spans="1:3" x14ac:dyDescent="0.35">
      <c r="A92" t="s">
        <v>236</v>
      </c>
      <c r="B92" s="6" t="s">
        <v>237</v>
      </c>
      <c r="C92" s="7">
        <v>87.120360000000005</v>
      </c>
    </row>
    <row r="93" spans="1:3" x14ac:dyDescent="0.35">
      <c r="A93" t="s">
        <v>238</v>
      </c>
      <c r="B93" s="6" t="s">
        <v>239</v>
      </c>
      <c r="C93" s="7">
        <v>58.122199999999999</v>
      </c>
    </row>
    <row r="94" spans="1:3" x14ac:dyDescent="0.35">
      <c r="A94" t="s">
        <v>240</v>
      </c>
      <c r="B94" s="6" t="s">
        <v>241</v>
      </c>
      <c r="C94" s="7">
        <v>58.122199999999999</v>
      </c>
    </row>
    <row r="95" spans="1:3" x14ac:dyDescent="0.35">
      <c r="A95" t="s">
        <v>242</v>
      </c>
      <c r="B95" s="6" t="s">
        <v>243</v>
      </c>
      <c r="C95" s="7">
        <v>74.121600000000001</v>
      </c>
    </row>
    <row r="96" spans="1:3" x14ac:dyDescent="0.35">
      <c r="A96" t="s">
        <v>244</v>
      </c>
      <c r="B96" s="6" t="s">
        <v>245</v>
      </c>
      <c r="C96" s="7">
        <v>74.121600000000001</v>
      </c>
    </row>
    <row r="97" spans="1:3" x14ac:dyDescent="0.35">
      <c r="A97" t="s">
        <v>246</v>
      </c>
      <c r="B97" s="6" t="s">
        <v>247</v>
      </c>
      <c r="C97" s="7">
        <v>74.121600000000001</v>
      </c>
    </row>
    <row r="98" spans="1:3" x14ac:dyDescent="0.35">
      <c r="A98" t="s">
        <v>248</v>
      </c>
      <c r="B98" s="6" t="s">
        <v>249</v>
      </c>
      <c r="C98" s="7">
        <v>74.121600000000001</v>
      </c>
    </row>
    <row r="99" spans="1:3" x14ac:dyDescent="0.35">
      <c r="A99" t="s">
        <v>250</v>
      </c>
      <c r="B99" s="6" t="s">
        <v>251</v>
      </c>
      <c r="C99" s="7">
        <v>74.121600000000001</v>
      </c>
    </row>
    <row r="100" spans="1:3" x14ac:dyDescent="0.35">
      <c r="A100" t="s">
        <v>252</v>
      </c>
      <c r="B100" s="6" t="s">
        <v>253</v>
      </c>
      <c r="C100" s="7">
        <v>106.1204</v>
      </c>
    </row>
    <row r="101" spans="1:3" x14ac:dyDescent="0.35">
      <c r="A101" t="s">
        <v>254</v>
      </c>
      <c r="B101" s="6" t="s">
        <v>255</v>
      </c>
      <c r="C101" s="7">
        <v>73.136840000000007</v>
      </c>
    </row>
    <row r="102" spans="1:3" x14ac:dyDescent="0.35">
      <c r="A102" t="s">
        <v>256</v>
      </c>
      <c r="B102" s="6" t="s">
        <v>257</v>
      </c>
      <c r="C102" s="7">
        <v>96.084059999999994</v>
      </c>
    </row>
    <row r="103" spans="1:3" x14ac:dyDescent="0.35">
      <c r="A103" t="s">
        <v>258</v>
      </c>
      <c r="B103" s="6" t="s">
        <v>259</v>
      </c>
      <c r="C103" s="7">
        <v>79.099900000000005</v>
      </c>
    </row>
    <row r="104" spans="1:3" x14ac:dyDescent="0.35">
      <c r="A104" t="s">
        <v>260</v>
      </c>
      <c r="B104" s="6" t="s">
        <v>261</v>
      </c>
      <c r="C104" s="7">
        <v>68.117019999999997</v>
      </c>
    </row>
    <row r="105" spans="1:3" x14ac:dyDescent="0.35">
      <c r="A105" t="s">
        <v>262</v>
      </c>
      <c r="B105" s="6" t="s">
        <v>263</v>
      </c>
      <c r="C105" s="7">
        <v>70.132900000000006</v>
      </c>
    </row>
    <row r="106" spans="1:3" x14ac:dyDescent="0.35">
      <c r="A106" t="s">
        <v>264</v>
      </c>
      <c r="B106" s="6" t="s">
        <v>265</v>
      </c>
      <c r="C106" s="7">
        <v>70.132900000000006</v>
      </c>
    </row>
    <row r="107" spans="1:3" x14ac:dyDescent="0.35">
      <c r="A107" t="s">
        <v>266</v>
      </c>
      <c r="B107" s="6" t="s">
        <v>267</v>
      </c>
      <c r="C107" s="7">
        <v>70.132900000000006</v>
      </c>
    </row>
    <row r="108" spans="1:3" x14ac:dyDescent="0.35">
      <c r="A108" t="s">
        <v>268</v>
      </c>
      <c r="B108" s="6" t="s">
        <v>269</v>
      </c>
      <c r="C108" s="7">
        <v>70.132900000000006</v>
      </c>
    </row>
    <row r="109" spans="1:3" x14ac:dyDescent="0.35">
      <c r="A109" t="s">
        <v>270</v>
      </c>
      <c r="B109" s="6" t="s">
        <v>271</v>
      </c>
      <c r="C109" s="7">
        <v>70.132900000000006</v>
      </c>
    </row>
    <row r="110" spans="1:3" x14ac:dyDescent="0.35">
      <c r="A110" t="s">
        <v>272</v>
      </c>
      <c r="B110" s="6" t="s">
        <v>273</v>
      </c>
      <c r="C110" s="7">
        <v>70.132900000000006</v>
      </c>
    </row>
    <row r="111" spans="1:3" x14ac:dyDescent="0.35">
      <c r="A111" t="s">
        <v>274</v>
      </c>
      <c r="B111" s="6" t="s">
        <v>275</v>
      </c>
      <c r="C111" s="7">
        <v>70.132900000000006</v>
      </c>
    </row>
    <row r="112" spans="1:3" x14ac:dyDescent="0.35">
      <c r="A112" t="s">
        <v>276</v>
      </c>
      <c r="B112" s="6" t="s">
        <v>277</v>
      </c>
      <c r="C112" s="7">
        <v>86.132300000000001</v>
      </c>
    </row>
    <row r="113" spans="1:3" x14ac:dyDescent="0.35">
      <c r="A113" t="s">
        <v>278</v>
      </c>
      <c r="B113" s="6" t="s">
        <v>279</v>
      </c>
      <c r="C113" s="7">
        <v>86.132300000000001</v>
      </c>
    </row>
    <row r="114" spans="1:3" x14ac:dyDescent="0.35">
      <c r="A114" t="s">
        <v>280</v>
      </c>
      <c r="B114" s="6" t="s">
        <v>281</v>
      </c>
      <c r="C114" s="7">
        <v>102.1317</v>
      </c>
    </row>
    <row r="115" spans="1:3" x14ac:dyDescent="0.35">
      <c r="A115" t="s">
        <v>282</v>
      </c>
      <c r="B115" s="6" t="s">
        <v>283</v>
      </c>
      <c r="C115" s="7">
        <v>72.148780000000002</v>
      </c>
    </row>
    <row r="116" spans="1:3" x14ac:dyDescent="0.35">
      <c r="A116" t="s">
        <v>284</v>
      </c>
      <c r="B116" s="6" t="s">
        <v>285</v>
      </c>
      <c r="C116" s="7">
        <v>72.148780000000002</v>
      </c>
    </row>
    <row r="117" spans="1:3" x14ac:dyDescent="0.35">
      <c r="A117" t="s">
        <v>286</v>
      </c>
      <c r="B117" s="6" t="s">
        <v>287</v>
      </c>
      <c r="C117" s="7">
        <v>72.148780000000002</v>
      </c>
    </row>
    <row r="118" spans="1:3" x14ac:dyDescent="0.35">
      <c r="A118" t="s">
        <v>288</v>
      </c>
      <c r="B118" s="6" t="s">
        <v>289</v>
      </c>
      <c r="C118" s="7">
        <v>181.447</v>
      </c>
    </row>
    <row r="119" spans="1:3" x14ac:dyDescent="0.35">
      <c r="A119" t="s">
        <v>290</v>
      </c>
      <c r="B119" s="6" t="s">
        <v>291</v>
      </c>
      <c r="C119" s="7">
        <v>147.00200000000001</v>
      </c>
    </row>
    <row r="120" spans="1:3" x14ac:dyDescent="0.35">
      <c r="A120" t="s">
        <v>292</v>
      </c>
      <c r="B120" s="6" t="s">
        <v>293</v>
      </c>
      <c r="C120" s="7">
        <v>147.00200000000001</v>
      </c>
    </row>
    <row r="121" spans="1:3" x14ac:dyDescent="0.35">
      <c r="A121" t="s">
        <v>294</v>
      </c>
      <c r="B121" s="6" t="s">
        <v>295</v>
      </c>
      <c r="C121" s="7">
        <v>147.00200000000001</v>
      </c>
    </row>
    <row r="122" spans="1:3" x14ac:dyDescent="0.35">
      <c r="A122" t="s">
        <v>296</v>
      </c>
      <c r="B122" s="6" t="s">
        <v>297</v>
      </c>
      <c r="C122" s="7">
        <v>157.00790000000001</v>
      </c>
    </row>
    <row r="123" spans="1:3" x14ac:dyDescent="0.35">
      <c r="A123" t="s">
        <v>298</v>
      </c>
      <c r="B123" s="6" t="s">
        <v>299</v>
      </c>
      <c r="C123" s="7">
        <v>112.5569</v>
      </c>
    </row>
    <row r="124" spans="1:3" x14ac:dyDescent="0.35">
      <c r="A124" t="s">
        <v>300</v>
      </c>
      <c r="B124" s="6" t="s">
        <v>301</v>
      </c>
      <c r="C124" s="7">
        <v>204.00839999999999</v>
      </c>
    </row>
    <row r="125" spans="1:3" x14ac:dyDescent="0.35">
      <c r="A125" t="s">
        <v>302</v>
      </c>
      <c r="B125" s="6" t="s">
        <v>303</v>
      </c>
      <c r="C125" s="7">
        <v>123.10939999999999</v>
      </c>
    </row>
    <row r="126" spans="1:3" x14ac:dyDescent="0.35">
      <c r="A126" t="s">
        <v>304</v>
      </c>
      <c r="B126" s="6" t="s">
        <v>305</v>
      </c>
      <c r="C126" s="7">
        <v>78.111840000000001</v>
      </c>
    </row>
    <row r="127" spans="1:3" x14ac:dyDescent="0.35">
      <c r="A127" t="s">
        <v>306</v>
      </c>
      <c r="B127" s="6" t="s">
        <v>307</v>
      </c>
      <c r="C127" s="7">
        <v>94.111239999999995</v>
      </c>
    </row>
    <row r="128" spans="1:3" x14ac:dyDescent="0.35">
      <c r="A128" t="s">
        <v>308</v>
      </c>
      <c r="B128" s="6" t="s">
        <v>309</v>
      </c>
      <c r="C128" s="7">
        <v>93.126480000000001</v>
      </c>
    </row>
    <row r="129" spans="1:3" x14ac:dyDescent="0.35">
      <c r="A129" t="s">
        <v>310</v>
      </c>
      <c r="B129" s="6" t="s">
        <v>311</v>
      </c>
      <c r="C129" s="7">
        <v>98.143000000000001</v>
      </c>
    </row>
    <row r="130" spans="1:3" x14ac:dyDescent="0.35">
      <c r="A130" t="s">
        <v>312</v>
      </c>
      <c r="B130" s="6" t="s">
        <v>313</v>
      </c>
      <c r="C130" s="7">
        <v>84.159480000000002</v>
      </c>
    </row>
    <row r="131" spans="1:3" x14ac:dyDescent="0.35">
      <c r="A131" t="s">
        <v>314</v>
      </c>
      <c r="B131" s="6" t="s">
        <v>315</v>
      </c>
      <c r="C131" s="7">
        <v>84.159480000000002</v>
      </c>
    </row>
    <row r="132" spans="1:3" x14ac:dyDescent="0.35">
      <c r="A132" t="s">
        <v>316</v>
      </c>
      <c r="B132" s="6" t="s">
        <v>317</v>
      </c>
      <c r="C132" s="7">
        <v>84.159480000000002</v>
      </c>
    </row>
    <row r="133" spans="1:3" x14ac:dyDescent="0.35">
      <c r="A133" t="s">
        <v>318</v>
      </c>
      <c r="B133" s="6" t="s">
        <v>319</v>
      </c>
      <c r="C133" s="7">
        <v>100.1589</v>
      </c>
    </row>
    <row r="134" spans="1:3" x14ac:dyDescent="0.35">
      <c r="A134" t="s">
        <v>320</v>
      </c>
      <c r="B134" s="6" t="s">
        <v>321</v>
      </c>
      <c r="C134" s="7">
        <v>86.175359999999998</v>
      </c>
    </row>
    <row r="135" spans="1:3" x14ac:dyDescent="0.35">
      <c r="A135" t="s">
        <v>322</v>
      </c>
      <c r="B135" s="6" t="s">
        <v>323</v>
      </c>
      <c r="C135" s="7">
        <v>86.175359999999998</v>
      </c>
    </row>
    <row r="136" spans="1:3" x14ac:dyDescent="0.35">
      <c r="A136" t="s">
        <v>324</v>
      </c>
      <c r="B136" s="6" t="s">
        <v>325</v>
      </c>
      <c r="C136" s="7">
        <v>86.175359999999998</v>
      </c>
    </row>
    <row r="137" spans="1:3" x14ac:dyDescent="0.35">
      <c r="A137" t="s">
        <v>326</v>
      </c>
      <c r="B137" s="6" t="s">
        <v>327</v>
      </c>
      <c r="C137" s="7">
        <v>86.175359999999998</v>
      </c>
    </row>
    <row r="138" spans="1:3" x14ac:dyDescent="0.35">
      <c r="A138" t="s">
        <v>328</v>
      </c>
      <c r="B138" s="6" t="s">
        <v>329</v>
      </c>
      <c r="C138" s="7">
        <v>86.175359999999998</v>
      </c>
    </row>
    <row r="139" spans="1:3" x14ac:dyDescent="0.35">
      <c r="A139" t="s">
        <v>330</v>
      </c>
      <c r="B139" s="6" t="s">
        <v>331</v>
      </c>
      <c r="C139" s="7">
        <v>150.173</v>
      </c>
    </row>
    <row r="140" spans="1:3" x14ac:dyDescent="0.35">
      <c r="A140" t="s">
        <v>332</v>
      </c>
      <c r="B140" s="6" t="s">
        <v>333</v>
      </c>
      <c r="C140" s="7">
        <v>101.19</v>
      </c>
    </row>
    <row r="141" spans="1:3" x14ac:dyDescent="0.35">
      <c r="A141" t="s">
        <v>334</v>
      </c>
      <c r="B141" s="6" t="s">
        <v>335</v>
      </c>
      <c r="C141" s="7">
        <v>92.13843</v>
      </c>
    </row>
    <row r="142" spans="1:3" x14ac:dyDescent="0.35">
      <c r="A142" t="s">
        <v>336</v>
      </c>
      <c r="B142" s="6" t="s">
        <v>337</v>
      </c>
      <c r="C142" s="7">
        <v>108.1378</v>
      </c>
    </row>
    <row r="143" spans="1:3" x14ac:dyDescent="0.35">
      <c r="A143" t="s">
        <v>338</v>
      </c>
      <c r="B143" s="6" t="s">
        <v>339</v>
      </c>
      <c r="C143" s="7">
        <v>108.1378</v>
      </c>
    </row>
    <row r="144" spans="1:3" x14ac:dyDescent="0.35">
      <c r="A144" t="s">
        <v>340</v>
      </c>
      <c r="B144" s="6" t="s">
        <v>341</v>
      </c>
      <c r="C144" s="7">
        <v>108.1378</v>
      </c>
    </row>
    <row r="145" spans="1:3" x14ac:dyDescent="0.35">
      <c r="A145" t="s">
        <v>342</v>
      </c>
      <c r="B145" s="6" t="s">
        <v>343</v>
      </c>
      <c r="C145" s="7">
        <v>98.186070000000001</v>
      </c>
    </row>
    <row r="146" spans="1:3" x14ac:dyDescent="0.35">
      <c r="A146" t="s">
        <v>344</v>
      </c>
      <c r="B146" s="6" t="s">
        <v>345</v>
      </c>
      <c r="C146" s="7">
        <v>98.186070000000001</v>
      </c>
    </row>
    <row r="147" spans="1:3" x14ac:dyDescent="0.35">
      <c r="A147" t="s">
        <v>346</v>
      </c>
      <c r="B147" s="6" t="s">
        <v>347</v>
      </c>
      <c r="C147" s="7">
        <v>98.186070000000001</v>
      </c>
    </row>
    <row r="148" spans="1:3" x14ac:dyDescent="0.35">
      <c r="A148" t="s">
        <v>348</v>
      </c>
      <c r="B148" s="6" t="s">
        <v>349</v>
      </c>
      <c r="C148" s="7">
        <v>100.202</v>
      </c>
    </row>
    <row r="149" spans="1:3" x14ac:dyDescent="0.35">
      <c r="A149" t="s">
        <v>350</v>
      </c>
      <c r="B149" s="6" t="s">
        <v>351</v>
      </c>
      <c r="C149" s="7">
        <v>104.149</v>
      </c>
    </row>
    <row r="150" spans="1:3" x14ac:dyDescent="0.35">
      <c r="A150" t="s">
        <v>352</v>
      </c>
      <c r="B150" s="6" t="s">
        <v>353</v>
      </c>
      <c r="C150" s="7">
        <v>106.16500000000001</v>
      </c>
    </row>
    <row r="151" spans="1:3" x14ac:dyDescent="0.35">
      <c r="A151" t="s">
        <v>354</v>
      </c>
      <c r="B151" s="6" t="s">
        <v>355</v>
      </c>
      <c r="C151" s="7">
        <v>106.16500000000001</v>
      </c>
    </row>
    <row r="152" spans="1:3" x14ac:dyDescent="0.35">
      <c r="A152" t="s">
        <v>356</v>
      </c>
      <c r="B152" s="6" t="s">
        <v>357</v>
      </c>
      <c r="C152" s="7">
        <v>106.16500000000001</v>
      </c>
    </row>
    <row r="153" spans="1:3" x14ac:dyDescent="0.35">
      <c r="A153" t="s">
        <v>358</v>
      </c>
      <c r="B153" s="6" t="s">
        <v>359</v>
      </c>
      <c r="C153" s="7">
        <v>106.16500000000001</v>
      </c>
    </row>
    <row r="154" spans="1:3" x14ac:dyDescent="0.35">
      <c r="A154" t="s">
        <v>360</v>
      </c>
      <c r="B154" s="6" t="s">
        <v>361</v>
      </c>
      <c r="C154" s="7">
        <v>112.21259999999999</v>
      </c>
    </row>
    <row r="155" spans="1:3" x14ac:dyDescent="0.35">
      <c r="A155" t="s">
        <v>362</v>
      </c>
      <c r="B155" s="6" t="s">
        <v>363</v>
      </c>
      <c r="C155" s="7">
        <v>112.21259999999999</v>
      </c>
    </row>
    <row r="156" spans="1:3" x14ac:dyDescent="0.35">
      <c r="A156" t="s">
        <v>364</v>
      </c>
      <c r="B156" s="6" t="s">
        <v>365</v>
      </c>
      <c r="C156" s="7">
        <v>114.2285</v>
      </c>
    </row>
    <row r="157" spans="1:3" x14ac:dyDescent="0.35">
      <c r="A157" t="s">
        <v>366</v>
      </c>
      <c r="B157" s="6" t="s">
        <v>367</v>
      </c>
      <c r="C157" s="7">
        <v>114.2285</v>
      </c>
    </row>
    <row r="158" spans="1:3" x14ac:dyDescent="0.35">
      <c r="A158" t="s">
        <v>368</v>
      </c>
      <c r="B158" s="6" t="s">
        <v>369</v>
      </c>
      <c r="C158" s="7">
        <v>114.2285</v>
      </c>
    </row>
    <row r="159" spans="1:3" x14ac:dyDescent="0.35">
      <c r="A159" t="s">
        <v>370</v>
      </c>
      <c r="B159" s="6" t="s">
        <v>371</v>
      </c>
      <c r="C159" s="7">
        <v>114.2285</v>
      </c>
    </row>
    <row r="160" spans="1:3" x14ac:dyDescent="0.35">
      <c r="A160" t="s">
        <v>372</v>
      </c>
      <c r="B160" s="6" t="s">
        <v>373</v>
      </c>
      <c r="C160" s="7">
        <v>114.2285</v>
      </c>
    </row>
    <row r="161" spans="1:3" x14ac:dyDescent="0.35">
      <c r="A161" t="s">
        <v>374</v>
      </c>
      <c r="B161" s="6" t="s">
        <v>375</v>
      </c>
      <c r="C161" s="7">
        <v>194.22550000000001</v>
      </c>
    </row>
    <row r="162" spans="1:3" x14ac:dyDescent="0.35">
      <c r="A162" t="s">
        <v>376</v>
      </c>
      <c r="B162" s="6" t="s">
        <v>377</v>
      </c>
      <c r="C162" s="7">
        <v>116.1598</v>
      </c>
    </row>
    <row r="163" spans="1:3" x14ac:dyDescent="0.35">
      <c r="A163" t="s">
        <v>378</v>
      </c>
      <c r="B163" s="6" t="s">
        <v>379</v>
      </c>
      <c r="C163" s="7">
        <v>118.17570000000001</v>
      </c>
    </row>
    <row r="164" spans="1:3" x14ac:dyDescent="0.35">
      <c r="A164" t="s">
        <v>380</v>
      </c>
      <c r="B164" s="6" t="s">
        <v>381</v>
      </c>
      <c r="C164" s="7">
        <v>120.19159999999999</v>
      </c>
    </row>
    <row r="165" spans="1:3" x14ac:dyDescent="0.35">
      <c r="A165" t="s">
        <v>382</v>
      </c>
      <c r="B165" s="6" t="s">
        <v>383</v>
      </c>
      <c r="C165" s="7">
        <v>120.19159999999999</v>
      </c>
    </row>
    <row r="166" spans="1:3" x14ac:dyDescent="0.35">
      <c r="A166" t="s">
        <v>384</v>
      </c>
      <c r="B166" s="6" t="s">
        <v>385</v>
      </c>
      <c r="C166" s="7">
        <v>126.2392</v>
      </c>
    </row>
    <row r="167" spans="1:3" x14ac:dyDescent="0.35">
      <c r="A167" t="s">
        <v>386</v>
      </c>
      <c r="B167" s="6" t="s">
        <v>387</v>
      </c>
      <c r="C167" s="7">
        <v>128.2551</v>
      </c>
    </row>
    <row r="168" spans="1:3" x14ac:dyDescent="0.35">
      <c r="A168" t="s">
        <v>388</v>
      </c>
      <c r="B168" s="6" t="s">
        <v>389</v>
      </c>
      <c r="C168" s="7">
        <v>128.1705</v>
      </c>
    </row>
    <row r="169" spans="1:3" x14ac:dyDescent="0.35">
      <c r="A169" t="s">
        <v>390</v>
      </c>
      <c r="B169" s="6" t="s">
        <v>391</v>
      </c>
      <c r="C169" s="7">
        <v>130.18639999999999</v>
      </c>
    </row>
    <row r="170" spans="1:3" x14ac:dyDescent="0.35">
      <c r="A170" t="s">
        <v>392</v>
      </c>
      <c r="B170" s="6" t="s">
        <v>393</v>
      </c>
      <c r="C170" s="7">
        <v>130.18639999999999</v>
      </c>
    </row>
    <row r="171" spans="1:3" x14ac:dyDescent="0.35">
      <c r="A171" t="s">
        <v>394</v>
      </c>
      <c r="B171" s="6" t="s">
        <v>395</v>
      </c>
      <c r="C171" s="7">
        <v>132.20230000000001</v>
      </c>
    </row>
    <row r="172" spans="1:3" x14ac:dyDescent="0.35">
      <c r="A172" t="s">
        <v>396</v>
      </c>
      <c r="B172" s="6" t="s">
        <v>397</v>
      </c>
      <c r="C172" s="7">
        <v>134.2182</v>
      </c>
    </row>
    <row r="173" spans="1:3" x14ac:dyDescent="0.35">
      <c r="A173" t="s">
        <v>398</v>
      </c>
      <c r="B173" s="6" t="s">
        <v>399</v>
      </c>
      <c r="C173" s="7">
        <v>140.26580000000001</v>
      </c>
    </row>
    <row r="174" spans="1:3" x14ac:dyDescent="0.35">
      <c r="A174" t="s">
        <v>400</v>
      </c>
      <c r="B174" s="6" t="s">
        <v>401</v>
      </c>
      <c r="C174" s="7">
        <v>142.2817</v>
      </c>
    </row>
    <row r="175" spans="1:3" x14ac:dyDescent="0.35">
      <c r="A175" t="s">
        <v>402</v>
      </c>
      <c r="B175" s="6" t="s">
        <v>403</v>
      </c>
      <c r="C175" s="7">
        <v>142.19710000000001</v>
      </c>
    </row>
    <row r="176" spans="1:3" x14ac:dyDescent="0.35">
      <c r="A176" t="s">
        <v>404</v>
      </c>
      <c r="B176" s="6" t="s">
        <v>405</v>
      </c>
      <c r="C176" s="7">
        <v>142.19710000000001</v>
      </c>
    </row>
    <row r="177" spans="1:3" x14ac:dyDescent="0.35">
      <c r="A177" t="s">
        <v>406</v>
      </c>
      <c r="B177" s="6" t="s">
        <v>407</v>
      </c>
      <c r="C177" s="7">
        <v>156.3083</v>
      </c>
    </row>
    <row r="178" spans="1:3" x14ac:dyDescent="0.35">
      <c r="A178" t="s">
        <v>408</v>
      </c>
      <c r="B178" s="6" t="s">
        <v>409</v>
      </c>
      <c r="C178" s="7">
        <v>154.20779999999999</v>
      </c>
    </row>
    <row r="179" spans="1:3" x14ac:dyDescent="0.35">
      <c r="A179" t="s">
        <v>410</v>
      </c>
      <c r="B179" s="6" t="s">
        <v>411</v>
      </c>
      <c r="C179" s="7">
        <v>154.20779999999999</v>
      </c>
    </row>
    <row r="180" spans="1:3" x14ac:dyDescent="0.35">
      <c r="A180" t="s">
        <v>412</v>
      </c>
      <c r="B180" s="6" t="s">
        <v>413</v>
      </c>
      <c r="C180" s="7">
        <v>170.3348</v>
      </c>
    </row>
    <row r="181" spans="1:3" x14ac:dyDescent="0.35">
      <c r="A181" t="s">
        <v>414</v>
      </c>
      <c r="B181" s="6" t="s">
        <v>415</v>
      </c>
      <c r="C181" s="7">
        <v>166.21850000000001</v>
      </c>
    </row>
    <row r="182" spans="1:3" x14ac:dyDescent="0.35">
      <c r="A182" t="s">
        <v>416</v>
      </c>
      <c r="B182" s="6" t="s">
        <v>417</v>
      </c>
      <c r="C182" s="7">
        <v>184.3614</v>
      </c>
    </row>
    <row r="183" spans="1:3" x14ac:dyDescent="0.35">
      <c r="A183" t="s">
        <v>418</v>
      </c>
      <c r="B183" s="6" t="s">
        <v>419</v>
      </c>
      <c r="C183" s="7">
        <v>178.22919999999999</v>
      </c>
    </row>
    <row r="184" spans="1:3" x14ac:dyDescent="0.35">
      <c r="A184" t="s">
        <v>420</v>
      </c>
      <c r="B184" s="6" t="s">
        <v>421</v>
      </c>
      <c r="C184" s="7">
        <v>198.38800000000001</v>
      </c>
    </row>
    <row r="185" spans="1:3" x14ac:dyDescent="0.35">
      <c r="A185" t="s">
        <v>422</v>
      </c>
      <c r="B185" s="6" t="s">
        <v>423</v>
      </c>
      <c r="C185" s="7">
        <v>212.41460000000001</v>
      </c>
    </row>
    <row r="186" spans="1:3" x14ac:dyDescent="0.35">
      <c r="A186" t="s">
        <v>424</v>
      </c>
      <c r="B186" s="6" t="s">
        <v>425</v>
      </c>
      <c r="C186" s="7">
        <v>202.25059999999999</v>
      </c>
    </row>
    <row r="187" spans="1:3" x14ac:dyDescent="0.35">
      <c r="A187" t="s">
        <v>426</v>
      </c>
      <c r="B187" s="6" t="s">
        <v>427</v>
      </c>
      <c r="C187" s="7">
        <v>202.25059999999999</v>
      </c>
    </row>
    <row r="188" spans="1:3" x14ac:dyDescent="0.35">
      <c r="A188" t="s">
        <v>428</v>
      </c>
      <c r="B188" s="6" t="s">
        <v>429</v>
      </c>
      <c r="C188" s="7">
        <v>204.26650000000001</v>
      </c>
    </row>
    <row r="189" spans="1:3" x14ac:dyDescent="0.35">
      <c r="A189" t="s">
        <v>430</v>
      </c>
      <c r="B189" s="6" t="s">
        <v>431</v>
      </c>
      <c r="C189" s="7">
        <v>226.44120000000001</v>
      </c>
    </row>
    <row r="190" spans="1:3" x14ac:dyDescent="0.35">
      <c r="A190" t="s">
        <v>432</v>
      </c>
      <c r="B190" s="6" t="s">
        <v>433</v>
      </c>
      <c r="C190" s="7">
        <v>228.28790000000001</v>
      </c>
    </row>
    <row r="191" spans="1:3" x14ac:dyDescent="0.35">
      <c r="A191" t="s">
        <v>434</v>
      </c>
      <c r="B191" s="6" t="s">
        <v>435</v>
      </c>
      <c r="C191" s="7">
        <v>138.2499</v>
      </c>
    </row>
    <row r="192" spans="1:3" x14ac:dyDescent="0.35">
      <c r="A192" t="s">
        <v>436</v>
      </c>
      <c r="B192" s="6" t="s">
        <v>437</v>
      </c>
      <c r="C192" s="7">
        <v>138.2499</v>
      </c>
    </row>
    <row r="193" spans="1:3" x14ac:dyDescent="0.35">
      <c r="A193" t="s">
        <v>438</v>
      </c>
      <c r="B193" s="6" t="s">
        <v>439</v>
      </c>
      <c r="C193" s="7">
        <v>88.148179999999996</v>
      </c>
    </row>
    <row r="194" spans="1:3" x14ac:dyDescent="0.35">
      <c r="A194" t="s">
        <v>440</v>
      </c>
      <c r="B194" s="6" t="s">
        <v>441</v>
      </c>
      <c r="C194" s="7">
        <v>102.1748</v>
      </c>
    </row>
    <row r="195" spans="1:3" x14ac:dyDescent="0.35">
      <c r="A195" t="s">
        <v>442</v>
      </c>
      <c r="B195" s="6" t="s">
        <v>443</v>
      </c>
      <c r="C195" s="7">
        <v>88.148179999999996</v>
      </c>
    </row>
    <row r="196" spans="1:3" x14ac:dyDescent="0.35">
      <c r="A196" t="s">
        <v>444</v>
      </c>
      <c r="B196" s="6" t="s">
        <v>445</v>
      </c>
      <c r="C196" s="7">
        <v>76.011600000000001</v>
      </c>
    </row>
    <row r="197" spans="1:3" x14ac:dyDescent="0.35">
      <c r="A197" t="s">
        <v>446</v>
      </c>
      <c r="B197" s="6" t="s">
        <v>447</v>
      </c>
      <c r="C197" s="7">
        <v>92.010999999999996</v>
      </c>
    </row>
    <row r="198" spans="1:3" x14ac:dyDescent="0.35">
      <c r="A198" t="s">
        <v>448</v>
      </c>
      <c r="B198" s="6" t="s">
        <v>449</v>
      </c>
      <c r="C198" s="7">
        <v>4.0026020000000004</v>
      </c>
    </row>
    <row r="199" spans="1:3" x14ac:dyDescent="0.35">
      <c r="A199" t="s">
        <v>450</v>
      </c>
      <c r="B199" s="6" t="s">
        <v>451</v>
      </c>
      <c r="C199" s="7">
        <v>37.9968</v>
      </c>
    </row>
    <row r="200" spans="1:3" x14ac:dyDescent="0.35">
      <c r="A200" t="s">
        <v>452</v>
      </c>
      <c r="B200" s="6" t="s">
        <v>453</v>
      </c>
      <c r="C200" s="7">
        <v>83.798000000000002</v>
      </c>
    </row>
    <row r="201" spans="1:3" x14ac:dyDescent="0.35">
      <c r="A201" t="s">
        <v>454</v>
      </c>
      <c r="B201" s="6" t="s">
        <v>455</v>
      </c>
      <c r="C201" s="7">
        <v>131.29300000000001</v>
      </c>
    </row>
    <row r="202" spans="1:3" x14ac:dyDescent="0.35">
      <c r="A202" t="s">
        <v>456</v>
      </c>
      <c r="B202" s="6" t="s">
        <v>457</v>
      </c>
      <c r="C202" s="7">
        <v>47.998199999999997</v>
      </c>
    </row>
    <row r="203" spans="1:3" x14ac:dyDescent="0.35">
      <c r="A203" t="s">
        <v>458</v>
      </c>
      <c r="B203" s="6" t="s">
        <v>459</v>
      </c>
      <c r="C203" s="7">
        <v>60.075099999999999</v>
      </c>
    </row>
    <row r="204" spans="1:3" x14ac:dyDescent="0.35">
      <c r="A204" t="s">
        <v>460</v>
      </c>
      <c r="B204" s="6" t="s">
        <v>461</v>
      </c>
      <c r="C204" s="7">
        <v>146.05539999999999</v>
      </c>
    </row>
    <row r="205" spans="1:3" x14ac:dyDescent="0.35">
      <c r="A205" t="s">
        <v>462</v>
      </c>
      <c r="B205" s="6" t="s">
        <v>463</v>
      </c>
      <c r="C205" s="7">
        <v>78.133439999999993</v>
      </c>
    </row>
    <row r="206" spans="1:3" x14ac:dyDescent="0.35">
      <c r="A206" t="s">
        <v>464</v>
      </c>
      <c r="B206" s="6" t="s">
        <v>465</v>
      </c>
      <c r="C206" s="7">
        <v>240.46770000000001</v>
      </c>
    </row>
    <row r="207" spans="1:3" x14ac:dyDescent="0.35">
      <c r="A207" t="s">
        <v>466</v>
      </c>
      <c r="B207" s="6" t="s">
        <v>467</v>
      </c>
      <c r="C207" s="7">
        <v>254.49430000000001</v>
      </c>
    </row>
    <row r="208" spans="1:3" x14ac:dyDescent="0.35">
      <c r="A208" t="s">
        <v>468</v>
      </c>
      <c r="B208" s="6" t="s">
        <v>469</v>
      </c>
      <c r="C208" s="7">
        <v>268.52089999999998</v>
      </c>
    </row>
    <row r="209" spans="1:3" x14ac:dyDescent="0.35">
      <c r="A209" t="s">
        <v>470</v>
      </c>
      <c r="B209" s="6" t="s">
        <v>471</v>
      </c>
      <c r="C209" s="7">
        <v>296.57409999999999</v>
      </c>
    </row>
    <row r="210" spans="1:3" x14ac:dyDescent="0.35">
      <c r="A210" t="s">
        <v>472</v>
      </c>
      <c r="B210" s="6" t="s">
        <v>473</v>
      </c>
      <c r="C210" s="7">
        <v>310.60059999999999</v>
      </c>
    </row>
    <row r="211" spans="1:3" x14ac:dyDescent="0.35">
      <c r="A211" t="s">
        <v>474</v>
      </c>
      <c r="B211" s="6" t="s">
        <v>475</v>
      </c>
      <c r="C211" s="7">
        <v>324.62720000000002</v>
      </c>
    </row>
    <row r="212" spans="1:3" x14ac:dyDescent="0.35">
      <c r="A212" t="s">
        <v>476</v>
      </c>
      <c r="B212" s="6" t="s">
        <v>477</v>
      </c>
      <c r="C212" s="7">
        <v>338.65379999999999</v>
      </c>
    </row>
    <row r="213" spans="1:3" x14ac:dyDescent="0.35">
      <c r="A213" t="s">
        <v>478</v>
      </c>
      <c r="B213" s="6" t="s">
        <v>479</v>
      </c>
      <c r="C213" s="7">
        <v>352.68040000000002</v>
      </c>
    </row>
    <row r="214" spans="1:3" x14ac:dyDescent="0.35">
      <c r="A214" t="s">
        <v>480</v>
      </c>
      <c r="B214" s="6" t="s">
        <v>481</v>
      </c>
      <c r="C214" s="7">
        <v>366.70699999999999</v>
      </c>
    </row>
    <row r="215" spans="1:3" x14ac:dyDescent="0.35">
      <c r="A215" t="s">
        <v>482</v>
      </c>
      <c r="B215" s="6" t="s">
        <v>483</v>
      </c>
      <c r="C215" s="7">
        <v>380.73360000000002</v>
      </c>
    </row>
    <row r="216" spans="1:3" x14ac:dyDescent="0.35">
      <c r="A216" t="s">
        <v>484</v>
      </c>
      <c r="B216" s="6" t="s">
        <v>485</v>
      </c>
      <c r="C216" s="7">
        <v>394.76010000000002</v>
      </c>
    </row>
    <row r="217" spans="1:3" x14ac:dyDescent="0.35">
      <c r="A217" t="s">
        <v>486</v>
      </c>
      <c r="B217" s="6" t="s">
        <v>487</v>
      </c>
      <c r="C217" s="7">
        <v>408.7867</v>
      </c>
    </row>
    <row r="218" spans="1:3" x14ac:dyDescent="0.35">
      <c r="A218" t="s">
        <v>488</v>
      </c>
      <c r="B218" s="6" t="s">
        <v>489</v>
      </c>
      <c r="C218" s="7">
        <v>422.81330000000003</v>
      </c>
    </row>
    <row r="219" spans="1:3" x14ac:dyDescent="0.35">
      <c r="A219" t="s">
        <v>490</v>
      </c>
      <c r="B219" s="6" t="s">
        <v>491</v>
      </c>
      <c r="C219" s="7">
        <v>100.202</v>
      </c>
    </row>
    <row r="220" spans="1:3" x14ac:dyDescent="0.35">
      <c r="A220" t="s">
        <v>492</v>
      </c>
      <c r="B220" s="6" t="s">
        <v>493</v>
      </c>
      <c r="C220" s="7">
        <v>100.202</v>
      </c>
    </row>
    <row r="221" spans="1:3" x14ac:dyDescent="0.35">
      <c r="A221" t="s">
        <v>494</v>
      </c>
      <c r="B221" s="6" t="s">
        <v>495</v>
      </c>
      <c r="C221" s="7">
        <v>100.202</v>
      </c>
    </row>
    <row r="222" spans="1:3" x14ac:dyDescent="0.35">
      <c r="A222" t="s">
        <v>496</v>
      </c>
      <c r="B222" s="6" t="s">
        <v>497</v>
      </c>
      <c r="C222" s="7">
        <v>100.202</v>
      </c>
    </row>
    <row r="223" spans="1:3" x14ac:dyDescent="0.35">
      <c r="A223" t="s">
        <v>498</v>
      </c>
      <c r="B223" s="6" t="s">
        <v>499</v>
      </c>
      <c r="C223" s="7">
        <v>100.202</v>
      </c>
    </row>
    <row r="224" spans="1:3" x14ac:dyDescent="0.35">
      <c r="A224" t="s">
        <v>500</v>
      </c>
      <c r="B224" s="6" t="s">
        <v>501</v>
      </c>
      <c r="C224" s="7">
        <v>100.202</v>
      </c>
    </row>
    <row r="225" spans="1:3" x14ac:dyDescent="0.35">
      <c r="A225" t="s">
        <v>502</v>
      </c>
      <c r="B225" s="6" t="s">
        <v>503</v>
      </c>
      <c r="C225" s="7">
        <v>100.202</v>
      </c>
    </row>
    <row r="226" spans="1:3" x14ac:dyDescent="0.35">
      <c r="A226" t="s">
        <v>504</v>
      </c>
      <c r="B226" s="6" t="s">
        <v>505</v>
      </c>
      <c r="C226" s="7">
        <v>100.202</v>
      </c>
    </row>
    <row r="227" spans="1:3" x14ac:dyDescent="0.35">
      <c r="A227" t="s">
        <v>506</v>
      </c>
      <c r="B227" s="6" t="s">
        <v>507</v>
      </c>
      <c r="C227" s="7">
        <v>114.2285</v>
      </c>
    </row>
    <row r="228" spans="1:3" x14ac:dyDescent="0.35">
      <c r="A228" t="s">
        <v>508</v>
      </c>
      <c r="B228" s="6" t="s">
        <v>509</v>
      </c>
      <c r="C228" s="7">
        <v>114.2285</v>
      </c>
    </row>
    <row r="229" spans="1:3" x14ac:dyDescent="0.35">
      <c r="A229" t="s">
        <v>510</v>
      </c>
      <c r="B229" s="6" t="s">
        <v>511</v>
      </c>
      <c r="C229" s="7">
        <v>114.2285</v>
      </c>
    </row>
    <row r="230" spans="1:3" x14ac:dyDescent="0.35">
      <c r="A230" t="s">
        <v>512</v>
      </c>
      <c r="B230" s="6" t="s">
        <v>513</v>
      </c>
      <c r="C230" s="7">
        <v>114.2285</v>
      </c>
    </row>
    <row r="231" spans="1:3" x14ac:dyDescent="0.35">
      <c r="A231" t="s">
        <v>514</v>
      </c>
      <c r="B231" s="6" t="s">
        <v>515</v>
      </c>
      <c r="C231" s="7">
        <v>114.2285</v>
      </c>
    </row>
    <row r="232" spans="1:3" x14ac:dyDescent="0.35">
      <c r="A232" t="s">
        <v>516</v>
      </c>
      <c r="B232" s="6" t="s">
        <v>517</v>
      </c>
      <c r="C232" s="7">
        <v>114.2285</v>
      </c>
    </row>
    <row r="233" spans="1:3" x14ac:dyDescent="0.35">
      <c r="A233" t="s">
        <v>518</v>
      </c>
      <c r="B233" s="6" t="s">
        <v>519</v>
      </c>
      <c r="C233" s="7">
        <v>114.2285</v>
      </c>
    </row>
    <row r="234" spans="1:3" x14ac:dyDescent="0.35">
      <c r="A234" t="s">
        <v>520</v>
      </c>
      <c r="B234" s="6" t="s">
        <v>521</v>
      </c>
      <c r="C234" s="7">
        <v>114.2285</v>
      </c>
    </row>
    <row r="235" spans="1:3" x14ac:dyDescent="0.35">
      <c r="A235" t="s">
        <v>522</v>
      </c>
      <c r="B235" s="6" t="s">
        <v>523</v>
      </c>
      <c r="C235" s="7">
        <v>114.2285</v>
      </c>
    </row>
    <row r="236" spans="1:3" x14ac:dyDescent="0.35">
      <c r="A236" t="s">
        <v>524</v>
      </c>
      <c r="B236" s="6" t="s">
        <v>525</v>
      </c>
      <c r="C236" s="7">
        <v>114.2285</v>
      </c>
    </row>
    <row r="237" spans="1:3" x14ac:dyDescent="0.35">
      <c r="A237" t="s">
        <v>526</v>
      </c>
      <c r="B237" s="6" t="s">
        <v>527</v>
      </c>
      <c r="C237" s="7">
        <v>114.2285</v>
      </c>
    </row>
    <row r="238" spans="1:3" x14ac:dyDescent="0.35">
      <c r="A238" t="s">
        <v>528</v>
      </c>
      <c r="B238" s="6" t="s">
        <v>529</v>
      </c>
      <c r="C238" s="7">
        <v>114.2285</v>
      </c>
    </row>
    <row r="239" spans="1:3" x14ac:dyDescent="0.35">
      <c r="A239" t="s">
        <v>530</v>
      </c>
      <c r="B239" s="6" t="s">
        <v>531</v>
      </c>
      <c r="C239" s="7">
        <v>114.2285</v>
      </c>
    </row>
    <row r="240" spans="1:3" x14ac:dyDescent="0.35">
      <c r="A240" t="s">
        <v>532</v>
      </c>
      <c r="B240" s="6" t="s">
        <v>533</v>
      </c>
      <c r="C240" s="7">
        <v>128.2551</v>
      </c>
    </row>
    <row r="241" spans="1:3" x14ac:dyDescent="0.35">
      <c r="A241" t="s">
        <v>534</v>
      </c>
      <c r="B241" s="6" t="s">
        <v>535</v>
      </c>
      <c r="C241" s="7">
        <v>128.2551</v>
      </c>
    </row>
    <row r="242" spans="1:3" x14ac:dyDescent="0.35">
      <c r="A242" t="s">
        <v>536</v>
      </c>
      <c r="B242" s="6" t="s">
        <v>537</v>
      </c>
      <c r="C242" s="7">
        <v>128.2551</v>
      </c>
    </row>
    <row r="243" spans="1:3" x14ac:dyDescent="0.35">
      <c r="A243" t="s">
        <v>538</v>
      </c>
      <c r="B243" s="6" t="s">
        <v>539</v>
      </c>
      <c r="C243" s="7">
        <v>128.2551</v>
      </c>
    </row>
    <row r="244" spans="1:3" x14ac:dyDescent="0.35">
      <c r="A244" t="s">
        <v>540</v>
      </c>
      <c r="B244" s="6" t="s">
        <v>541</v>
      </c>
      <c r="C244" s="7">
        <v>128.2551</v>
      </c>
    </row>
    <row r="245" spans="1:3" x14ac:dyDescent="0.35">
      <c r="A245" t="s">
        <v>542</v>
      </c>
      <c r="B245" s="6" t="s">
        <v>543</v>
      </c>
      <c r="C245" s="7">
        <v>128.2551</v>
      </c>
    </row>
    <row r="246" spans="1:3" x14ac:dyDescent="0.35">
      <c r="A246" t="s">
        <v>544</v>
      </c>
      <c r="B246" s="6" t="s">
        <v>545</v>
      </c>
      <c r="C246" s="7">
        <v>128.2551</v>
      </c>
    </row>
    <row r="247" spans="1:3" x14ac:dyDescent="0.35">
      <c r="A247" t="s">
        <v>546</v>
      </c>
      <c r="B247" s="6" t="s">
        <v>547</v>
      </c>
      <c r="C247" s="7">
        <v>128.2551</v>
      </c>
    </row>
    <row r="248" spans="1:3" x14ac:dyDescent="0.35">
      <c r="A248" t="s">
        <v>548</v>
      </c>
      <c r="B248" s="6" t="s">
        <v>549</v>
      </c>
      <c r="C248" s="7">
        <v>128.2551</v>
      </c>
    </row>
    <row r="249" spans="1:3" x14ac:dyDescent="0.35">
      <c r="A249" t="s">
        <v>550</v>
      </c>
      <c r="B249" s="6" t="s">
        <v>551</v>
      </c>
      <c r="C249" s="7">
        <v>128.2551</v>
      </c>
    </row>
    <row r="250" spans="1:3" x14ac:dyDescent="0.35">
      <c r="A250" t="s">
        <v>552</v>
      </c>
      <c r="B250" s="6" t="s">
        <v>553</v>
      </c>
      <c r="C250" s="7">
        <v>128.2551</v>
      </c>
    </row>
    <row r="251" spans="1:3" x14ac:dyDescent="0.35">
      <c r="A251" t="s">
        <v>554</v>
      </c>
      <c r="B251" s="6" t="s">
        <v>555</v>
      </c>
      <c r="C251" s="7">
        <v>128.2551</v>
      </c>
    </row>
    <row r="252" spans="1:3" x14ac:dyDescent="0.35">
      <c r="A252" t="s">
        <v>556</v>
      </c>
      <c r="B252" s="6" t="s">
        <v>557</v>
      </c>
      <c r="C252" s="7">
        <v>142.2817</v>
      </c>
    </row>
    <row r="253" spans="1:3" x14ac:dyDescent="0.35">
      <c r="A253" t="s">
        <v>558</v>
      </c>
      <c r="B253" s="6" t="s">
        <v>559</v>
      </c>
      <c r="C253" s="7">
        <v>142.2817</v>
      </c>
    </row>
    <row r="254" spans="1:3" x14ac:dyDescent="0.35">
      <c r="A254" t="s">
        <v>560</v>
      </c>
      <c r="B254" s="6" t="s">
        <v>917</v>
      </c>
      <c r="C254" s="7">
        <v>142.2817</v>
      </c>
    </row>
    <row r="255" spans="1:3" x14ac:dyDescent="0.35">
      <c r="A255" t="s">
        <v>561</v>
      </c>
      <c r="B255" s="6" t="s">
        <v>562</v>
      </c>
      <c r="C255" s="7">
        <v>142.2817</v>
      </c>
    </row>
    <row r="256" spans="1:3" x14ac:dyDescent="0.35">
      <c r="A256" t="s">
        <v>563</v>
      </c>
      <c r="B256" s="6" t="s">
        <v>564</v>
      </c>
      <c r="C256" s="7">
        <v>142.2817</v>
      </c>
    </row>
    <row r="257" spans="1:3" x14ac:dyDescent="0.35">
      <c r="A257" t="s">
        <v>565</v>
      </c>
      <c r="B257" s="6" t="s">
        <v>566</v>
      </c>
      <c r="C257" s="7">
        <v>142.2817</v>
      </c>
    </row>
    <row r="258" spans="1:3" x14ac:dyDescent="0.35">
      <c r="A258" t="s">
        <v>567</v>
      </c>
      <c r="B258" s="6" t="s">
        <v>568</v>
      </c>
      <c r="C258" s="7">
        <v>84.159480000000002</v>
      </c>
    </row>
    <row r="259" spans="1:3" x14ac:dyDescent="0.35">
      <c r="A259" t="s">
        <v>569</v>
      </c>
      <c r="B259" s="6" t="s">
        <v>570</v>
      </c>
      <c r="C259" s="7">
        <v>84.159480000000002</v>
      </c>
    </row>
    <row r="260" spans="1:3" x14ac:dyDescent="0.35">
      <c r="A260" t="s">
        <v>571</v>
      </c>
      <c r="B260" s="6" t="s">
        <v>572</v>
      </c>
      <c r="C260" s="7">
        <v>112.21259999999999</v>
      </c>
    </row>
    <row r="261" spans="1:3" x14ac:dyDescent="0.35">
      <c r="A261" t="s">
        <v>573</v>
      </c>
      <c r="B261" s="6" t="s">
        <v>574</v>
      </c>
      <c r="C261" s="7">
        <v>126.2392</v>
      </c>
    </row>
    <row r="262" spans="1:3" x14ac:dyDescent="0.35">
      <c r="A262" t="s">
        <v>575</v>
      </c>
      <c r="B262" s="6" t="s">
        <v>576</v>
      </c>
      <c r="C262" s="7">
        <v>154.29239999999999</v>
      </c>
    </row>
    <row r="263" spans="1:3" x14ac:dyDescent="0.35">
      <c r="A263" t="s">
        <v>577</v>
      </c>
      <c r="B263" s="6" t="s">
        <v>578</v>
      </c>
      <c r="C263" s="7">
        <v>84.159480000000002</v>
      </c>
    </row>
    <row r="264" spans="1:3" x14ac:dyDescent="0.35">
      <c r="A264" t="s">
        <v>579</v>
      </c>
      <c r="B264" s="6" t="s">
        <v>580</v>
      </c>
      <c r="C264" s="7">
        <v>84.159480000000002</v>
      </c>
    </row>
    <row r="265" spans="1:3" x14ac:dyDescent="0.35">
      <c r="A265" t="s">
        <v>581</v>
      </c>
      <c r="B265" s="6" t="s">
        <v>582</v>
      </c>
      <c r="C265" s="7">
        <v>84.159480000000002</v>
      </c>
    </row>
    <row r="266" spans="1:3" x14ac:dyDescent="0.35">
      <c r="A266" t="s">
        <v>583</v>
      </c>
      <c r="B266" s="6" t="s">
        <v>584</v>
      </c>
      <c r="C266" s="7">
        <v>82.143600000000006</v>
      </c>
    </row>
    <row r="267" spans="1:3" x14ac:dyDescent="0.35">
      <c r="A267" t="s">
        <v>585</v>
      </c>
      <c r="B267" s="6" t="s">
        <v>586</v>
      </c>
      <c r="C267" s="7">
        <v>98.186070000000001</v>
      </c>
    </row>
    <row r="268" spans="1:3" x14ac:dyDescent="0.35">
      <c r="A268" t="s">
        <v>587</v>
      </c>
      <c r="B268" s="6" t="s">
        <v>588</v>
      </c>
      <c r="C268" s="7">
        <v>98.186070000000001</v>
      </c>
    </row>
    <row r="269" spans="1:3" x14ac:dyDescent="0.35">
      <c r="A269" t="s">
        <v>589</v>
      </c>
      <c r="B269" s="6" t="s">
        <v>590</v>
      </c>
      <c r="C269" s="7">
        <v>98.186070000000001</v>
      </c>
    </row>
    <row r="270" spans="1:3" x14ac:dyDescent="0.35">
      <c r="A270" t="s">
        <v>591</v>
      </c>
      <c r="B270" s="6" t="s">
        <v>592</v>
      </c>
      <c r="C270" s="7">
        <v>98.186070000000001</v>
      </c>
    </row>
    <row r="271" spans="1:3" x14ac:dyDescent="0.35">
      <c r="A271" t="s">
        <v>593</v>
      </c>
      <c r="B271" s="6" t="s">
        <v>594</v>
      </c>
      <c r="C271" s="7">
        <v>98.186070000000001</v>
      </c>
    </row>
    <row r="272" spans="1:3" x14ac:dyDescent="0.35">
      <c r="A272" t="s">
        <v>595</v>
      </c>
      <c r="B272" s="6" t="s">
        <v>596</v>
      </c>
      <c r="C272" s="7">
        <v>112.21259999999999</v>
      </c>
    </row>
    <row r="273" spans="1:3" x14ac:dyDescent="0.35">
      <c r="A273" t="s">
        <v>597</v>
      </c>
      <c r="B273" s="6" t="s">
        <v>598</v>
      </c>
      <c r="C273" s="7">
        <v>112.21259999999999</v>
      </c>
    </row>
    <row r="274" spans="1:3" x14ac:dyDescent="0.35">
      <c r="A274" t="s">
        <v>599</v>
      </c>
      <c r="B274" s="6" t="s">
        <v>600</v>
      </c>
      <c r="C274" s="7">
        <v>126.2392</v>
      </c>
    </row>
    <row r="275" spans="1:3" x14ac:dyDescent="0.35">
      <c r="A275" t="s">
        <v>601</v>
      </c>
      <c r="B275" s="6" t="s">
        <v>602</v>
      </c>
      <c r="C275" s="7">
        <v>112.21259999999999</v>
      </c>
    </row>
    <row r="276" spans="1:3" x14ac:dyDescent="0.35">
      <c r="A276" t="s">
        <v>603</v>
      </c>
      <c r="B276" s="6" t="s">
        <v>918</v>
      </c>
      <c r="C276" s="7">
        <v>112.21259999999999</v>
      </c>
    </row>
    <row r="277" spans="1:3" x14ac:dyDescent="0.35">
      <c r="A277" t="s">
        <v>604</v>
      </c>
      <c r="B277" s="6" t="s">
        <v>605</v>
      </c>
      <c r="C277" s="7">
        <v>112.21259999999999</v>
      </c>
    </row>
    <row r="278" spans="1:3" x14ac:dyDescent="0.35">
      <c r="A278" t="s">
        <v>606</v>
      </c>
      <c r="B278" s="6" t="s">
        <v>607</v>
      </c>
      <c r="C278" s="7">
        <v>112.21259999999999</v>
      </c>
    </row>
    <row r="279" spans="1:3" x14ac:dyDescent="0.35">
      <c r="A279" t="s">
        <v>608</v>
      </c>
      <c r="B279" s="6" t="s">
        <v>919</v>
      </c>
      <c r="C279" s="7">
        <v>112.21259999999999</v>
      </c>
    </row>
    <row r="280" spans="1:3" x14ac:dyDescent="0.35">
      <c r="A280" t="s">
        <v>609</v>
      </c>
      <c r="B280" s="6" t="s">
        <v>610</v>
      </c>
      <c r="C280" s="7">
        <v>112.21259999999999</v>
      </c>
    </row>
    <row r="281" spans="1:3" x14ac:dyDescent="0.35">
      <c r="A281" t="s">
        <v>611</v>
      </c>
      <c r="B281" s="6" t="s">
        <v>920</v>
      </c>
      <c r="C281" s="7">
        <v>112.21259999999999</v>
      </c>
    </row>
    <row r="282" spans="1:3" x14ac:dyDescent="0.35">
      <c r="A282" t="s">
        <v>612</v>
      </c>
      <c r="B282" s="6" t="s">
        <v>613</v>
      </c>
      <c r="C282" s="7">
        <v>140.26580000000001</v>
      </c>
    </row>
    <row r="283" spans="1:3" x14ac:dyDescent="0.35">
      <c r="A283" t="s">
        <v>614</v>
      </c>
      <c r="B283" s="6" t="s">
        <v>615</v>
      </c>
      <c r="C283" s="7">
        <v>120.19159999999999</v>
      </c>
    </row>
    <row r="284" spans="1:3" x14ac:dyDescent="0.35">
      <c r="A284" t="s">
        <v>616</v>
      </c>
      <c r="B284" s="6" t="s">
        <v>617</v>
      </c>
      <c r="C284" s="7">
        <v>120.19159999999999</v>
      </c>
    </row>
    <row r="285" spans="1:3" x14ac:dyDescent="0.35">
      <c r="A285" t="s">
        <v>618</v>
      </c>
      <c r="B285" s="6" t="s">
        <v>619</v>
      </c>
      <c r="C285" s="7">
        <v>120.19159999999999</v>
      </c>
    </row>
    <row r="286" spans="1:3" x14ac:dyDescent="0.35">
      <c r="A286" t="s">
        <v>620</v>
      </c>
      <c r="B286" s="6" t="s">
        <v>621</v>
      </c>
      <c r="C286" s="7">
        <v>120.19159999999999</v>
      </c>
    </row>
    <row r="287" spans="1:3" x14ac:dyDescent="0.35">
      <c r="A287" t="s">
        <v>622</v>
      </c>
      <c r="B287" s="6" t="s">
        <v>623</v>
      </c>
      <c r="C287" s="7">
        <v>120.19159999999999</v>
      </c>
    </row>
    <row r="288" spans="1:3" x14ac:dyDescent="0.35">
      <c r="A288" t="s">
        <v>624</v>
      </c>
      <c r="B288" s="6" t="s">
        <v>625</v>
      </c>
      <c r="C288" s="7">
        <v>120.19159999999999</v>
      </c>
    </row>
    <row r="289" spans="1:3" x14ac:dyDescent="0.35">
      <c r="A289" t="s">
        <v>626</v>
      </c>
      <c r="B289" s="6" t="s">
        <v>627</v>
      </c>
      <c r="C289" s="7">
        <v>134.2182</v>
      </c>
    </row>
    <row r="290" spans="1:3" x14ac:dyDescent="0.35">
      <c r="A290" t="s">
        <v>628</v>
      </c>
      <c r="B290" s="6" t="s">
        <v>629</v>
      </c>
      <c r="C290" s="7">
        <v>134.2182</v>
      </c>
    </row>
    <row r="291" spans="1:3" x14ac:dyDescent="0.35">
      <c r="A291" t="s">
        <v>630</v>
      </c>
      <c r="B291" s="6" t="s">
        <v>631</v>
      </c>
      <c r="C291" s="7">
        <v>134.2182</v>
      </c>
    </row>
    <row r="292" spans="1:3" x14ac:dyDescent="0.35">
      <c r="A292" t="s">
        <v>632</v>
      </c>
      <c r="B292" s="6" t="s">
        <v>633</v>
      </c>
      <c r="C292" s="7">
        <v>134.2182</v>
      </c>
    </row>
    <row r="293" spans="1:3" x14ac:dyDescent="0.35">
      <c r="A293" t="s">
        <v>634</v>
      </c>
      <c r="B293" s="6" t="s">
        <v>635</v>
      </c>
      <c r="C293" s="7">
        <v>134.2182</v>
      </c>
    </row>
    <row r="294" spans="1:3" x14ac:dyDescent="0.35">
      <c r="A294" t="s">
        <v>636</v>
      </c>
      <c r="B294" s="6" t="s">
        <v>637</v>
      </c>
      <c r="C294" s="7">
        <v>134.2182</v>
      </c>
    </row>
    <row r="295" spans="1:3" x14ac:dyDescent="0.35">
      <c r="A295" t="s">
        <v>638</v>
      </c>
      <c r="B295" s="6" t="s">
        <v>639</v>
      </c>
      <c r="C295" s="7">
        <v>134.2182</v>
      </c>
    </row>
    <row r="296" spans="1:3" x14ac:dyDescent="0.35">
      <c r="A296" t="s">
        <v>640</v>
      </c>
      <c r="B296" s="6" t="s">
        <v>641</v>
      </c>
      <c r="C296" s="7">
        <v>134.2182</v>
      </c>
    </row>
    <row r="297" spans="1:3" x14ac:dyDescent="0.35">
      <c r="A297" t="s">
        <v>642</v>
      </c>
      <c r="B297" s="6" t="s">
        <v>643</v>
      </c>
      <c r="C297" s="7">
        <v>134.2182</v>
      </c>
    </row>
    <row r="298" spans="1:3" x14ac:dyDescent="0.35">
      <c r="A298" t="s">
        <v>644</v>
      </c>
      <c r="B298" s="6" t="s">
        <v>645</v>
      </c>
      <c r="C298" s="7">
        <v>134.2182</v>
      </c>
    </row>
    <row r="299" spans="1:3" x14ac:dyDescent="0.35">
      <c r="A299" t="s">
        <v>646</v>
      </c>
      <c r="B299" s="6" t="s">
        <v>647</v>
      </c>
      <c r="C299" s="7">
        <v>134.2182</v>
      </c>
    </row>
    <row r="300" spans="1:3" x14ac:dyDescent="0.35">
      <c r="A300" t="s">
        <v>648</v>
      </c>
      <c r="B300" s="6" t="s">
        <v>649</v>
      </c>
      <c r="C300" s="7">
        <v>134.2182</v>
      </c>
    </row>
    <row r="301" spans="1:3" x14ac:dyDescent="0.35">
      <c r="A301" t="s">
        <v>650</v>
      </c>
      <c r="B301" s="6" t="s">
        <v>921</v>
      </c>
      <c r="C301" s="7">
        <v>134.2182</v>
      </c>
    </row>
    <row r="302" spans="1:3" x14ac:dyDescent="0.35">
      <c r="A302" t="s">
        <v>651</v>
      </c>
      <c r="B302" s="6" t="s">
        <v>652</v>
      </c>
      <c r="C302" s="7">
        <v>134.2182</v>
      </c>
    </row>
    <row r="303" spans="1:3" x14ac:dyDescent="0.35">
      <c r="A303" t="s">
        <v>653</v>
      </c>
      <c r="B303" s="6" t="s">
        <v>654</v>
      </c>
      <c r="C303" s="7">
        <v>134.2182</v>
      </c>
    </row>
    <row r="304" spans="1:3" x14ac:dyDescent="0.35">
      <c r="A304" t="s">
        <v>655</v>
      </c>
      <c r="B304" s="6" t="s">
        <v>656</v>
      </c>
      <c r="C304" s="7">
        <v>134.2182</v>
      </c>
    </row>
    <row r="305" spans="1:3" x14ac:dyDescent="0.35">
      <c r="A305" t="s">
        <v>657</v>
      </c>
      <c r="B305" s="6" t="s">
        <v>658</v>
      </c>
      <c r="C305" s="7">
        <v>134.2182</v>
      </c>
    </row>
    <row r="306" spans="1:3" x14ac:dyDescent="0.35">
      <c r="A306" t="s">
        <v>659</v>
      </c>
      <c r="B306" s="6" t="s">
        <v>660</v>
      </c>
      <c r="C306" s="7">
        <v>134.2182</v>
      </c>
    </row>
    <row r="307" spans="1:3" x14ac:dyDescent="0.35">
      <c r="A307" t="s">
        <v>661</v>
      </c>
      <c r="B307" s="6" t="s">
        <v>662</v>
      </c>
      <c r="C307" s="7">
        <v>162.2713</v>
      </c>
    </row>
    <row r="308" spans="1:3" x14ac:dyDescent="0.35">
      <c r="A308" t="s">
        <v>663</v>
      </c>
      <c r="B308" s="6" t="s">
        <v>664</v>
      </c>
      <c r="C308" s="7">
        <v>100.1589</v>
      </c>
    </row>
    <row r="309" spans="1:3" x14ac:dyDescent="0.35">
      <c r="A309" t="s">
        <v>665</v>
      </c>
      <c r="B309" s="6" t="s">
        <v>666</v>
      </c>
      <c r="C309" s="7">
        <v>114.1855</v>
      </c>
    </row>
    <row r="310" spans="1:3" x14ac:dyDescent="0.35">
      <c r="A310" t="s">
        <v>667</v>
      </c>
      <c r="B310" s="6" t="s">
        <v>668</v>
      </c>
      <c r="C310" s="7">
        <v>114.1855</v>
      </c>
    </row>
    <row r="311" spans="1:3" x14ac:dyDescent="0.35">
      <c r="A311" t="s">
        <v>669</v>
      </c>
      <c r="B311" s="6" t="s">
        <v>670</v>
      </c>
      <c r="C311" s="7">
        <v>100.1589</v>
      </c>
    </row>
    <row r="312" spans="1:3" x14ac:dyDescent="0.35">
      <c r="A312" t="s">
        <v>671</v>
      </c>
      <c r="B312" s="6" t="s">
        <v>672</v>
      </c>
      <c r="C312" s="7">
        <v>86.132300000000001</v>
      </c>
    </row>
    <row r="313" spans="1:3" x14ac:dyDescent="0.35">
      <c r="A313" t="s">
        <v>673</v>
      </c>
      <c r="B313" s="6" t="s">
        <v>674</v>
      </c>
      <c r="C313" s="7">
        <v>100.1589</v>
      </c>
    </row>
    <row r="314" spans="1:3" x14ac:dyDescent="0.35">
      <c r="A314" t="s">
        <v>675</v>
      </c>
      <c r="B314" s="6" t="s">
        <v>676</v>
      </c>
      <c r="C314" s="7">
        <v>114.1855</v>
      </c>
    </row>
    <row r="315" spans="1:3" x14ac:dyDescent="0.35">
      <c r="A315" t="s">
        <v>677</v>
      </c>
      <c r="B315" s="6" t="s">
        <v>678</v>
      </c>
      <c r="C315" s="7">
        <v>114.1855</v>
      </c>
    </row>
    <row r="316" spans="1:3" x14ac:dyDescent="0.35">
      <c r="A316" t="s">
        <v>679</v>
      </c>
      <c r="B316" s="6" t="s">
        <v>680</v>
      </c>
      <c r="C316" s="7">
        <v>100.1589</v>
      </c>
    </row>
    <row r="317" spans="1:3" x14ac:dyDescent="0.35">
      <c r="A317" t="s">
        <v>681</v>
      </c>
      <c r="B317" s="6" t="s">
        <v>682</v>
      </c>
      <c r="C317" s="7">
        <v>142.23859999999999</v>
      </c>
    </row>
    <row r="318" spans="1:3" x14ac:dyDescent="0.35">
      <c r="A318" t="s">
        <v>683</v>
      </c>
      <c r="B318" s="6" t="s">
        <v>684</v>
      </c>
      <c r="C318" s="7">
        <v>114.1855</v>
      </c>
    </row>
    <row r="319" spans="1:3" x14ac:dyDescent="0.35">
      <c r="A319" t="s">
        <v>685</v>
      </c>
      <c r="B319" s="6" t="s">
        <v>686</v>
      </c>
      <c r="C319" s="7">
        <v>58.079140000000002</v>
      </c>
    </row>
    <row r="320" spans="1:3" x14ac:dyDescent="0.35">
      <c r="A320" t="s">
        <v>687</v>
      </c>
      <c r="B320" s="6" t="s">
        <v>688</v>
      </c>
      <c r="C320" s="7">
        <v>72.105720000000005</v>
      </c>
    </row>
    <row r="321" spans="1:3" x14ac:dyDescent="0.35">
      <c r="A321" t="s">
        <v>689</v>
      </c>
      <c r="B321" s="6" t="s">
        <v>690</v>
      </c>
      <c r="C321" s="7">
        <v>86.132300000000001</v>
      </c>
    </row>
    <row r="322" spans="1:3" x14ac:dyDescent="0.35">
      <c r="A322" t="s">
        <v>691</v>
      </c>
      <c r="B322" s="6" t="s">
        <v>692</v>
      </c>
      <c r="C322" s="7">
        <v>100.1589</v>
      </c>
    </row>
    <row r="323" spans="1:3" x14ac:dyDescent="0.35">
      <c r="A323" t="s">
        <v>693</v>
      </c>
      <c r="B323" s="6" t="s">
        <v>694</v>
      </c>
      <c r="C323" s="7">
        <v>114.1855</v>
      </c>
    </row>
    <row r="324" spans="1:3" x14ac:dyDescent="0.35">
      <c r="A324" t="s">
        <v>695</v>
      </c>
      <c r="B324" s="6" t="s">
        <v>696</v>
      </c>
      <c r="C324" s="7">
        <v>102.1748</v>
      </c>
    </row>
    <row r="325" spans="1:3" x14ac:dyDescent="0.35">
      <c r="A325" t="s">
        <v>697</v>
      </c>
      <c r="B325" s="6" t="s">
        <v>698</v>
      </c>
      <c r="C325" s="7">
        <v>130.22790000000001</v>
      </c>
    </row>
    <row r="326" spans="1:3" x14ac:dyDescent="0.35">
      <c r="A326" t="s">
        <v>699</v>
      </c>
      <c r="B326" s="6" t="s">
        <v>700</v>
      </c>
      <c r="C326" s="7">
        <v>130.22790000000001</v>
      </c>
    </row>
    <row r="327" spans="1:3" x14ac:dyDescent="0.35">
      <c r="A327" t="s">
        <v>701</v>
      </c>
      <c r="B327" s="6" t="s">
        <v>702</v>
      </c>
      <c r="C327" s="7">
        <v>60.095019999999998</v>
      </c>
    </row>
    <row r="328" spans="1:3" x14ac:dyDescent="0.35">
      <c r="A328" t="s">
        <v>703</v>
      </c>
      <c r="B328" s="6" t="s">
        <v>704</v>
      </c>
      <c r="C328" s="7">
        <v>74.121600000000001</v>
      </c>
    </row>
    <row r="329" spans="1:3" x14ac:dyDescent="0.35">
      <c r="A329" t="s">
        <v>705</v>
      </c>
      <c r="B329" s="6" t="s">
        <v>706</v>
      </c>
      <c r="C329" s="7">
        <v>116.2013</v>
      </c>
    </row>
    <row r="330" spans="1:3" x14ac:dyDescent="0.35">
      <c r="A330" t="s">
        <v>707</v>
      </c>
      <c r="B330" s="6" t="s">
        <v>708</v>
      </c>
      <c r="C330" s="7">
        <v>88.148179999999996</v>
      </c>
    </row>
    <row r="331" spans="1:3" x14ac:dyDescent="0.35">
      <c r="A331" t="s">
        <v>709</v>
      </c>
      <c r="B331" s="6" t="s">
        <v>710</v>
      </c>
      <c r="C331" s="7">
        <v>74.121600000000001</v>
      </c>
    </row>
    <row r="332" spans="1:3" x14ac:dyDescent="0.35">
      <c r="A332" t="s">
        <v>711</v>
      </c>
      <c r="B332" s="6" t="s">
        <v>712</v>
      </c>
      <c r="C332" s="7">
        <v>102.1748</v>
      </c>
    </row>
    <row r="333" spans="1:3" x14ac:dyDescent="0.35">
      <c r="A333" t="s">
        <v>713</v>
      </c>
      <c r="B333" s="6" t="s">
        <v>714</v>
      </c>
      <c r="C333" s="7">
        <v>116.2013</v>
      </c>
    </row>
    <row r="334" spans="1:3" x14ac:dyDescent="0.35">
      <c r="A334" t="s">
        <v>715</v>
      </c>
      <c r="B334" s="6" t="s">
        <v>716</v>
      </c>
      <c r="C334" s="7">
        <v>100.1589</v>
      </c>
    </row>
    <row r="335" spans="1:3" x14ac:dyDescent="0.35">
      <c r="A335" t="s">
        <v>717</v>
      </c>
      <c r="B335" s="6" t="s">
        <v>718</v>
      </c>
      <c r="C335" s="7">
        <v>108.1378</v>
      </c>
    </row>
    <row r="336" spans="1:3" x14ac:dyDescent="0.35">
      <c r="A336" t="s">
        <v>719</v>
      </c>
      <c r="B336" s="6" t="s">
        <v>720</v>
      </c>
      <c r="C336" s="7">
        <v>102.1317</v>
      </c>
    </row>
    <row r="337" spans="1:3" x14ac:dyDescent="0.35">
      <c r="A337" t="s">
        <v>721</v>
      </c>
      <c r="B337" s="6" t="s">
        <v>722</v>
      </c>
      <c r="C337" s="7">
        <v>116.1583</v>
      </c>
    </row>
    <row r="338" spans="1:3" x14ac:dyDescent="0.35">
      <c r="A338" t="s">
        <v>723</v>
      </c>
      <c r="B338" s="6" t="s">
        <v>724</v>
      </c>
      <c r="C338" s="7">
        <v>116.1583</v>
      </c>
    </row>
    <row r="339" spans="1:3" x14ac:dyDescent="0.35">
      <c r="A339" t="s">
        <v>725</v>
      </c>
      <c r="B339" s="6" t="s">
        <v>726</v>
      </c>
      <c r="C339" s="7">
        <v>130.1849</v>
      </c>
    </row>
    <row r="340" spans="1:3" x14ac:dyDescent="0.35">
      <c r="A340" t="s">
        <v>727</v>
      </c>
      <c r="B340" s="6" t="s">
        <v>728</v>
      </c>
      <c r="C340" s="7">
        <v>86.089240000000004</v>
      </c>
    </row>
    <row r="341" spans="1:3" x14ac:dyDescent="0.35">
      <c r="A341" t="s">
        <v>729</v>
      </c>
      <c r="B341" s="6" t="s">
        <v>730</v>
      </c>
      <c r="C341" s="7">
        <v>144.2114</v>
      </c>
    </row>
    <row r="342" spans="1:3" x14ac:dyDescent="0.35">
      <c r="A342" t="s">
        <v>731</v>
      </c>
      <c r="B342" s="6" t="s">
        <v>732</v>
      </c>
      <c r="C342" s="7">
        <v>88.148179999999996</v>
      </c>
    </row>
    <row r="343" spans="1:3" x14ac:dyDescent="0.35">
      <c r="A343" t="s">
        <v>733</v>
      </c>
      <c r="B343" s="6" t="s">
        <v>734</v>
      </c>
      <c r="C343" s="7">
        <v>88.148179999999996</v>
      </c>
    </row>
    <row r="344" spans="1:3" x14ac:dyDescent="0.35">
      <c r="A344" t="s">
        <v>735</v>
      </c>
      <c r="B344" s="6" t="s">
        <v>736</v>
      </c>
      <c r="C344" s="7">
        <v>88.148179999999996</v>
      </c>
    </row>
    <row r="345" spans="1:3" x14ac:dyDescent="0.35">
      <c r="A345" t="s">
        <v>737</v>
      </c>
      <c r="B345" s="6" t="s">
        <v>738</v>
      </c>
      <c r="C345" s="7">
        <v>88.148179999999996</v>
      </c>
    </row>
    <row r="346" spans="1:3" x14ac:dyDescent="0.35">
      <c r="A346" t="s">
        <v>739</v>
      </c>
      <c r="B346" s="6" t="s">
        <v>740</v>
      </c>
      <c r="C346" s="7">
        <v>102.1748</v>
      </c>
    </row>
    <row r="347" spans="1:3" x14ac:dyDescent="0.35">
      <c r="A347" t="s">
        <v>741</v>
      </c>
      <c r="B347" s="6" t="s">
        <v>742</v>
      </c>
      <c r="C347" s="7">
        <v>116.2013</v>
      </c>
    </row>
    <row r="348" spans="1:3" x14ac:dyDescent="0.35">
      <c r="A348" t="s">
        <v>743</v>
      </c>
      <c r="B348" s="6" t="s">
        <v>744</v>
      </c>
      <c r="C348" s="7">
        <v>90.120999999999995</v>
      </c>
    </row>
    <row r="349" spans="1:3" x14ac:dyDescent="0.35">
      <c r="A349" t="s">
        <v>745</v>
      </c>
      <c r="B349" s="6" t="s">
        <v>746</v>
      </c>
      <c r="C349" s="7">
        <v>48.107460000000003</v>
      </c>
    </row>
    <row r="350" spans="1:3" x14ac:dyDescent="0.35">
      <c r="A350" t="s">
        <v>747</v>
      </c>
      <c r="B350" s="6" t="s">
        <v>748</v>
      </c>
      <c r="C350" s="7">
        <v>76.160610000000005</v>
      </c>
    </row>
    <row r="351" spans="1:3" x14ac:dyDescent="0.35">
      <c r="A351" t="s">
        <v>749</v>
      </c>
      <c r="B351" s="6" t="s">
        <v>750</v>
      </c>
      <c r="C351" s="7">
        <v>90.187190000000001</v>
      </c>
    </row>
    <row r="352" spans="1:3" x14ac:dyDescent="0.35">
      <c r="A352" t="s">
        <v>751</v>
      </c>
      <c r="B352" s="6" t="s">
        <v>752</v>
      </c>
      <c r="C352" s="7">
        <v>90.187190000000001</v>
      </c>
    </row>
    <row r="353" spans="1:3" x14ac:dyDescent="0.35">
      <c r="A353" t="s">
        <v>753</v>
      </c>
      <c r="B353" s="6" t="s">
        <v>754</v>
      </c>
      <c r="C353" s="7">
        <v>90.187190000000001</v>
      </c>
    </row>
    <row r="354" spans="1:3" x14ac:dyDescent="0.35">
      <c r="A354" t="s">
        <v>755</v>
      </c>
      <c r="B354" s="6" t="s">
        <v>756</v>
      </c>
      <c r="C354" s="7">
        <v>118.24039999999999</v>
      </c>
    </row>
    <row r="355" spans="1:3" x14ac:dyDescent="0.35">
      <c r="A355" t="s">
        <v>757</v>
      </c>
      <c r="B355" s="6" t="s">
        <v>758</v>
      </c>
      <c r="C355" s="7">
        <v>76.160610000000005</v>
      </c>
    </row>
    <row r="356" spans="1:3" x14ac:dyDescent="0.35">
      <c r="A356" t="s">
        <v>759</v>
      </c>
      <c r="B356" s="6" t="s">
        <v>760</v>
      </c>
      <c r="C356" s="7">
        <v>90.187190000000001</v>
      </c>
    </row>
    <row r="357" spans="1:3" x14ac:dyDescent="0.35">
      <c r="A357" t="s">
        <v>761</v>
      </c>
      <c r="B357" s="6" t="s">
        <v>762</v>
      </c>
      <c r="C357" s="7">
        <v>104.21380000000001</v>
      </c>
    </row>
    <row r="358" spans="1:3" x14ac:dyDescent="0.35">
      <c r="A358" t="s">
        <v>763</v>
      </c>
      <c r="B358" s="6" t="s">
        <v>764</v>
      </c>
      <c r="C358" s="7">
        <v>118.24039999999999</v>
      </c>
    </row>
    <row r="359" spans="1:3" x14ac:dyDescent="0.35">
      <c r="A359" t="s">
        <v>765</v>
      </c>
      <c r="B359" s="6" t="s">
        <v>766</v>
      </c>
      <c r="C359" s="7">
        <v>118.24039999999999</v>
      </c>
    </row>
    <row r="360" spans="1:3" x14ac:dyDescent="0.35">
      <c r="A360" t="s">
        <v>767</v>
      </c>
      <c r="B360" s="6" t="s">
        <v>768</v>
      </c>
      <c r="C360" s="7">
        <v>90.187190000000001</v>
      </c>
    </row>
    <row r="361" spans="1:3" x14ac:dyDescent="0.35">
      <c r="A361" t="s">
        <v>769</v>
      </c>
      <c r="B361" s="6" t="s">
        <v>770</v>
      </c>
      <c r="C361" s="7">
        <v>122.2522</v>
      </c>
    </row>
    <row r="362" spans="1:3" x14ac:dyDescent="0.35">
      <c r="A362" t="s">
        <v>771</v>
      </c>
      <c r="B362" s="6" t="s">
        <v>772</v>
      </c>
      <c r="C362" s="7">
        <v>94.199039999999997</v>
      </c>
    </row>
    <row r="363" spans="1:3" x14ac:dyDescent="0.35">
      <c r="A363" t="s">
        <v>773</v>
      </c>
      <c r="B363" s="6" t="s">
        <v>774</v>
      </c>
      <c r="C363" s="7">
        <v>150.30539999999999</v>
      </c>
    </row>
    <row r="364" spans="1:3" x14ac:dyDescent="0.35">
      <c r="A364" t="s">
        <v>775</v>
      </c>
      <c r="B364" s="6" t="s">
        <v>776</v>
      </c>
      <c r="C364" s="7">
        <v>178.35849999999999</v>
      </c>
    </row>
    <row r="365" spans="1:3" x14ac:dyDescent="0.35">
      <c r="A365" t="s">
        <v>777</v>
      </c>
      <c r="B365" s="6" t="s">
        <v>778</v>
      </c>
      <c r="C365" s="7">
        <v>108.2256</v>
      </c>
    </row>
    <row r="366" spans="1:3" x14ac:dyDescent="0.35">
      <c r="A366" t="s">
        <v>779</v>
      </c>
      <c r="B366" s="6" t="s">
        <v>780</v>
      </c>
      <c r="C366" s="7">
        <v>136.27879999999999</v>
      </c>
    </row>
    <row r="367" spans="1:3" x14ac:dyDescent="0.35">
      <c r="A367" t="s">
        <v>781</v>
      </c>
      <c r="B367" s="6" t="s">
        <v>782</v>
      </c>
      <c r="C367" s="7">
        <v>218.33779999999999</v>
      </c>
    </row>
    <row r="368" spans="1:3" x14ac:dyDescent="0.35">
      <c r="A368" t="s">
        <v>783</v>
      </c>
      <c r="B368" s="6" t="s">
        <v>784</v>
      </c>
      <c r="C368" s="7">
        <v>61.083080000000002</v>
      </c>
    </row>
    <row r="369" spans="1:3" x14ac:dyDescent="0.35">
      <c r="A369" t="s">
        <v>785</v>
      </c>
      <c r="B369" s="6" t="s">
        <v>786</v>
      </c>
      <c r="C369" s="7">
        <v>105.1356</v>
      </c>
    </row>
    <row r="370" spans="1:3" x14ac:dyDescent="0.35">
      <c r="A370" t="s">
        <v>787</v>
      </c>
      <c r="B370" s="6" t="s">
        <v>788</v>
      </c>
      <c r="C370" s="7">
        <v>149.18819999999999</v>
      </c>
    </row>
    <row r="371" spans="1:3" x14ac:dyDescent="0.35">
      <c r="A371" t="s">
        <v>789</v>
      </c>
      <c r="B371" s="6" t="s">
        <v>790</v>
      </c>
      <c r="C371" s="7">
        <v>60.098320000000001</v>
      </c>
    </row>
    <row r="372" spans="1:3" x14ac:dyDescent="0.35">
      <c r="A372" t="s">
        <v>791</v>
      </c>
      <c r="B372" s="6" t="s">
        <v>792</v>
      </c>
      <c r="C372" s="7">
        <v>101.19</v>
      </c>
    </row>
    <row r="373" spans="1:3" x14ac:dyDescent="0.35">
      <c r="A373" t="s">
        <v>793</v>
      </c>
      <c r="B373" s="6" t="s">
        <v>794</v>
      </c>
      <c r="C373" s="7">
        <v>129.20339999999999</v>
      </c>
    </row>
    <row r="374" spans="1:3" x14ac:dyDescent="0.35">
      <c r="A374" t="s">
        <v>795</v>
      </c>
      <c r="B374" s="6" t="s">
        <v>796</v>
      </c>
      <c r="C374" s="7">
        <v>103.1661</v>
      </c>
    </row>
    <row r="375" spans="1:3" x14ac:dyDescent="0.35">
      <c r="A375" t="s">
        <v>797</v>
      </c>
      <c r="B375" s="6" t="s">
        <v>798</v>
      </c>
      <c r="C375" s="7">
        <v>104.15089999999999</v>
      </c>
    </row>
    <row r="376" spans="1:3" x14ac:dyDescent="0.35">
      <c r="A376" t="s">
        <v>799</v>
      </c>
      <c r="B376" s="6" t="s">
        <v>800</v>
      </c>
      <c r="C376" s="7">
        <v>108.14109999999999</v>
      </c>
    </row>
    <row r="377" spans="1:3" x14ac:dyDescent="0.35">
      <c r="A377" t="s">
        <v>801</v>
      </c>
      <c r="B377" s="6" t="s">
        <v>802</v>
      </c>
      <c r="C377" s="7">
        <v>86.135599999999997</v>
      </c>
    </row>
    <row r="378" spans="1:3" x14ac:dyDescent="0.35">
      <c r="A378" t="s">
        <v>803</v>
      </c>
      <c r="B378" s="6" t="s">
        <v>804</v>
      </c>
      <c r="C378" s="7">
        <v>75.109660000000005</v>
      </c>
    </row>
    <row r="379" spans="1:3" x14ac:dyDescent="0.35">
      <c r="A379" t="s">
        <v>805</v>
      </c>
      <c r="B379" s="6" t="s">
        <v>806</v>
      </c>
      <c r="C379" s="7">
        <v>89.136240000000001</v>
      </c>
    </row>
    <row r="380" spans="1:3" x14ac:dyDescent="0.35">
      <c r="A380" t="s">
        <v>807</v>
      </c>
      <c r="B380" s="6" t="s">
        <v>808</v>
      </c>
      <c r="C380" s="7">
        <v>61.040019999999998</v>
      </c>
    </row>
    <row r="381" spans="1:3" x14ac:dyDescent="0.35">
      <c r="A381" t="s">
        <v>809</v>
      </c>
      <c r="B381" s="6" t="s">
        <v>810</v>
      </c>
      <c r="C381" s="7">
        <v>75.066599999999994</v>
      </c>
    </row>
    <row r="382" spans="1:3" x14ac:dyDescent="0.35">
      <c r="A382" t="s">
        <v>811</v>
      </c>
      <c r="B382" s="6" t="s">
        <v>812</v>
      </c>
      <c r="C382" s="7">
        <v>89.093180000000004</v>
      </c>
    </row>
    <row r="383" spans="1:3" x14ac:dyDescent="0.35">
      <c r="A383" t="s">
        <v>813</v>
      </c>
      <c r="B383" s="6" t="s">
        <v>814</v>
      </c>
      <c r="C383" s="7">
        <v>89.093180000000004</v>
      </c>
    </row>
    <row r="384" spans="1:3" x14ac:dyDescent="0.35">
      <c r="A384" t="s">
        <v>815</v>
      </c>
      <c r="B384" s="6" t="s">
        <v>816</v>
      </c>
      <c r="C384" s="7">
        <v>103.1198</v>
      </c>
    </row>
    <row r="385" spans="1:3" x14ac:dyDescent="0.35">
      <c r="A385" t="s">
        <v>817</v>
      </c>
      <c r="B385" s="6" t="s">
        <v>818</v>
      </c>
      <c r="C385" s="7">
        <v>137.136</v>
      </c>
    </row>
    <row r="386" spans="1:3" x14ac:dyDescent="0.35">
      <c r="A386" t="s">
        <v>819</v>
      </c>
      <c r="B386" s="6" t="s">
        <v>820</v>
      </c>
      <c r="C386" s="7">
        <v>137.136</v>
      </c>
    </row>
    <row r="387" spans="1:3" x14ac:dyDescent="0.35">
      <c r="A387" t="s">
        <v>821</v>
      </c>
      <c r="B387" s="6" t="s">
        <v>822</v>
      </c>
      <c r="C387" s="7">
        <v>137.136</v>
      </c>
    </row>
    <row r="388" spans="1:3" x14ac:dyDescent="0.35">
      <c r="A388" t="s">
        <v>823</v>
      </c>
      <c r="B388" s="6" t="s">
        <v>824</v>
      </c>
      <c r="C388" s="7">
        <v>182.1335</v>
      </c>
    </row>
    <row r="389" spans="1:3" x14ac:dyDescent="0.35">
      <c r="A389" t="s">
        <v>825</v>
      </c>
      <c r="B389" s="6" t="s">
        <v>826</v>
      </c>
      <c r="C389" s="7">
        <v>182.1335</v>
      </c>
    </row>
    <row r="390" spans="1:3" x14ac:dyDescent="0.35">
      <c r="A390" t="s">
        <v>827</v>
      </c>
      <c r="B390" s="6" t="s">
        <v>828</v>
      </c>
      <c r="C390" s="7">
        <v>182.1335</v>
      </c>
    </row>
    <row r="391" spans="1:3" x14ac:dyDescent="0.35">
      <c r="A391" t="s">
        <v>829</v>
      </c>
      <c r="B391" s="6" t="s">
        <v>830</v>
      </c>
      <c r="C391" s="7">
        <v>182.1335</v>
      </c>
    </row>
    <row r="392" spans="1:3" x14ac:dyDescent="0.35">
      <c r="A392" t="s">
        <v>831</v>
      </c>
      <c r="B392" s="6" t="s">
        <v>832</v>
      </c>
      <c r="C392" s="7">
        <v>182.1335</v>
      </c>
    </row>
    <row r="393" spans="1:3" x14ac:dyDescent="0.35">
      <c r="A393" t="s">
        <v>833</v>
      </c>
      <c r="B393" s="6" t="s">
        <v>834</v>
      </c>
      <c r="C393" s="7">
        <v>227.1311</v>
      </c>
    </row>
    <row r="394" spans="1:3" x14ac:dyDescent="0.35">
      <c r="A394" t="s">
        <v>835</v>
      </c>
      <c r="B394" s="6" t="s">
        <v>836</v>
      </c>
      <c r="C394" s="7">
        <v>90.034880000000001</v>
      </c>
    </row>
    <row r="395" spans="1:3" x14ac:dyDescent="0.35">
      <c r="A395" t="s">
        <v>837</v>
      </c>
      <c r="B395" s="6" t="s">
        <v>838</v>
      </c>
      <c r="C395" s="7">
        <v>72.062659999999994</v>
      </c>
    </row>
    <row r="396" spans="1:3" x14ac:dyDescent="0.35">
      <c r="A396" t="s">
        <v>839</v>
      </c>
      <c r="B396" s="6" t="s">
        <v>840</v>
      </c>
      <c r="C396" s="7">
        <v>86.089240000000004</v>
      </c>
    </row>
    <row r="397" spans="1:3" x14ac:dyDescent="0.35">
      <c r="A397" t="s">
        <v>841</v>
      </c>
      <c r="B397" s="6" t="s">
        <v>842</v>
      </c>
      <c r="C397" s="7">
        <v>122.12130000000001</v>
      </c>
    </row>
    <row r="398" spans="1:3" x14ac:dyDescent="0.35">
      <c r="A398" t="s">
        <v>843</v>
      </c>
      <c r="B398" s="6" t="s">
        <v>844</v>
      </c>
      <c r="C398" s="7">
        <v>136.14789999999999</v>
      </c>
    </row>
    <row r="399" spans="1:3" x14ac:dyDescent="0.35">
      <c r="A399" t="s">
        <v>845</v>
      </c>
      <c r="B399" s="6" t="s">
        <v>846</v>
      </c>
      <c r="C399" s="7">
        <v>136.14789999999999</v>
      </c>
    </row>
    <row r="400" spans="1:3" x14ac:dyDescent="0.35">
      <c r="A400" t="s">
        <v>847</v>
      </c>
      <c r="B400" s="6" t="s">
        <v>848</v>
      </c>
      <c r="C400" s="7">
        <v>138.1207</v>
      </c>
    </row>
    <row r="401" spans="1:3" x14ac:dyDescent="0.35">
      <c r="A401" t="s">
        <v>849</v>
      </c>
      <c r="B401" s="6" t="s">
        <v>850</v>
      </c>
      <c r="C401" s="7">
        <v>146.1412</v>
      </c>
    </row>
    <row r="402" spans="1:3" x14ac:dyDescent="0.35">
      <c r="A402" t="s">
        <v>851</v>
      </c>
      <c r="B402" s="6" t="s">
        <v>852</v>
      </c>
      <c r="C402" s="7">
        <v>166.13079999999999</v>
      </c>
    </row>
    <row r="403" spans="1:3" x14ac:dyDescent="0.35">
      <c r="A403" t="s">
        <v>853</v>
      </c>
      <c r="B403" s="6" t="s">
        <v>854</v>
      </c>
      <c r="C403" s="7">
        <v>116.0722</v>
      </c>
    </row>
    <row r="404" spans="1:3" x14ac:dyDescent="0.35">
      <c r="A404" t="s">
        <v>855</v>
      </c>
      <c r="B404" s="6" t="s">
        <v>856</v>
      </c>
      <c r="C404" s="7">
        <v>166.13079999999999</v>
      </c>
    </row>
    <row r="405" spans="1:3" x14ac:dyDescent="0.35">
      <c r="A405" t="s">
        <v>857</v>
      </c>
      <c r="B405" s="6" t="s">
        <v>858</v>
      </c>
      <c r="C405" s="7">
        <v>102.0886</v>
      </c>
    </row>
    <row r="406" spans="1:3" x14ac:dyDescent="0.35">
      <c r="A406" t="s">
        <v>859</v>
      </c>
      <c r="B406" s="6" t="s">
        <v>860</v>
      </c>
      <c r="C406" s="7">
        <v>98.056880000000007</v>
      </c>
    </row>
    <row r="407" spans="1:3" x14ac:dyDescent="0.35">
      <c r="A407" t="s">
        <v>861</v>
      </c>
      <c r="B407" s="6" t="s">
        <v>862</v>
      </c>
      <c r="C407" s="7">
        <v>42.036679999999997</v>
      </c>
    </row>
    <row r="408" spans="1:3" x14ac:dyDescent="0.35">
      <c r="A408" t="s">
        <v>863</v>
      </c>
      <c r="B408" s="6" t="s">
        <v>864</v>
      </c>
      <c r="C408" s="7">
        <v>100.11579999999999</v>
      </c>
    </row>
    <row r="409" spans="1:3" x14ac:dyDescent="0.35">
      <c r="A409" t="s">
        <v>865</v>
      </c>
      <c r="B409" s="6" t="s">
        <v>866</v>
      </c>
      <c r="C409" s="7">
        <v>194.184</v>
      </c>
    </row>
    <row r="410" spans="1:3" x14ac:dyDescent="0.35">
      <c r="A410" t="s">
        <v>867</v>
      </c>
      <c r="B410" s="6" t="s">
        <v>868</v>
      </c>
      <c r="C410" s="7">
        <v>58.078040000000001</v>
      </c>
    </row>
    <row r="411" spans="1:3" x14ac:dyDescent="0.35">
      <c r="A411" t="s">
        <v>869</v>
      </c>
      <c r="B411" s="6" t="s">
        <v>870</v>
      </c>
      <c r="C411" s="7">
        <v>152.19040000000001</v>
      </c>
    </row>
    <row r="412" spans="1:3" x14ac:dyDescent="0.35">
      <c r="A412" t="s">
        <v>871</v>
      </c>
      <c r="B412" s="6" t="s">
        <v>872</v>
      </c>
      <c r="C412" s="7">
        <v>55.078499999999998</v>
      </c>
    </row>
    <row r="413" spans="1:3" x14ac:dyDescent="0.35">
      <c r="A413" t="s">
        <v>873</v>
      </c>
      <c r="B413" s="6" t="s">
        <v>874</v>
      </c>
      <c r="C413" s="7">
        <v>90.077939999999998</v>
      </c>
    </row>
    <row r="414" spans="1:3" x14ac:dyDescent="0.35">
      <c r="A414" t="s">
        <v>875</v>
      </c>
      <c r="B414" s="6" t="s">
        <v>876</v>
      </c>
      <c r="C414" s="7">
        <v>118.1311</v>
      </c>
    </row>
    <row r="415" spans="1:3" x14ac:dyDescent="0.35">
      <c r="A415" t="s">
        <v>877</v>
      </c>
      <c r="B415" s="6" t="s">
        <v>878</v>
      </c>
      <c r="C415" s="7">
        <v>104.1045</v>
      </c>
    </row>
    <row r="416" spans="1:3" x14ac:dyDescent="0.35">
      <c r="A416" t="s">
        <v>879</v>
      </c>
      <c r="B416" s="6" t="s">
        <v>880</v>
      </c>
      <c r="C416" s="7">
        <v>152.1473</v>
      </c>
    </row>
    <row r="417" spans="1:3" x14ac:dyDescent="0.35">
      <c r="A417" t="s">
        <v>881</v>
      </c>
      <c r="B417" s="6" t="s">
        <v>882</v>
      </c>
      <c r="C417" s="7">
        <v>166.1739</v>
      </c>
    </row>
    <row r="418" spans="1:3" x14ac:dyDescent="0.35">
      <c r="A418" t="s">
        <v>883</v>
      </c>
      <c r="B418" s="6" t="s">
        <v>884</v>
      </c>
      <c r="C418" s="7">
        <v>214.2167</v>
      </c>
    </row>
    <row r="419" spans="1:3" x14ac:dyDescent="0.35">
      <c r="A419" t="s">
        <v>885</v>
      </c>
      <c r="B419" s="6" t="s">
        <v>886</v>
      </c>
      <c r="C419" s="7">
        <v>88.062070000000006</v>
      </c>
    </row>
    <row r="420" spans="1:3" x14ac:dyDescent="0.35">
      <c r="A420" t="s">
        <v>887</v>
      </c>
      <c r="B420" s="6" t="s">
        <v>888</v>
      </c>
      <c r="C420" s="7">
        <v>102.0886</v>
      </c>
    </row>
    <row r="421" spans="1:3" x14ac:dyDescent="0.35">
      <c r="A421" t="s">
        <v>889</v>
      </c>
      <c r="B421" s="6" t="s">
        <v>890</v>
      </c>
      <c r="C421" s="7">
        <v>112.21259999999999</v>
      </c>
    </row>
    <row r="422" spans="1:3" x14ac:dyDescent="0.35">
      <c r="A422" t="s">
        <v>891</v>
      </c>
      <c r="B422" s="6" t="s">
        <v>892</v>
      </c>
      <c r="C422" s="7">
        <v>144.25450000000001</v>
      </c>
    </row>
    <row r="423" spans="1:3" x14ac:dyDescent="0.35">
      <c r="A423" t="s">
        <v>893</v>
      </c>
      <c r="B423" s="6" t="s">
        <v>894</v>
      </c>
      <c r="C423" s="7">
        <v>130.22790000000001</v>
      </c>
    </row>
    <row r="424" spans="1:3" x14ac:dyDescent="0.35">
      <c r="A424" t="s">
        <v>895</v>
      </c>
      <c r="B424" s="6" t="s">
        <v>896</v>
      </c>
      <c r="C424" s="7">
        <v>76.09442</v>
      </c>
    </row>
    <row r="425" spans="1:3" x14ac:dyDescent="0.35">
      <c r="A425" t="s">
        <v>897</v>
      </c>
      <c r="B425" s="6" t="s">
        <v>898</v>
      </c>
      <c r="C425" s="7">
        <v>119.1622</v>
      </c>
    </row>
    <row r="426" spans="1:3" x14ac:dyDescent="0.35">
      <c r="A426" t="s">
        <v>899</v>
      </c>
      <c r="B426" s="6" t="s">
        <v>900</v>
      </c>
      <c r="C426" s="7">
        <v>117.18940000000001</v>
      </c>
    </row>
    <row r="427" spans="1:3" x14ac:dyDescent="0.35">
      <c r="A427" t="s">
        <v>901</v>
      </c>
      <c r="B427" s="6" t="s">
        <v>902</v>
      </c>
      <c r="C427" s="7">
        <v>133.18879999999999</v>
      </c>
    </row>
    <row r="428" spans="1:3" x14ac:dyDescent="0.35">
      <c r="A428" t="s">
        <v>903</v>
      </c>
      <c r="B428" s="6" t="s">
        <v>904</v>
      </c>
      <c r="C428" s="7">
        <v>56.106319999999997</v>
      </c>
    </row>
    <row r="429" spans="1:3" x14ac:dyDescent="0.35">
      <c r="A429" t="s">
        <v>905</v>
      </c>
      <c r="B429" s="6" t="s">
        <v>906</v>
      </c>
      <c r="C429" s="7">
        <v>76.160610000000005</v>
      </c>
    </row>
    <row r="430" spans="1:3" x14ac:dyDescent="0.35">
      <c r="A430" t="s">
        <v>907</v>
      </c>
      <c r="B430" s="6" t="s">
        <v>908</v>
      </c>
      <c r="C430" s="7">
        <v>92.093819999999994</v>
      </c>
    </row>
    <row r="431" spans="1:3" x14ac:dyDescent="0.35">
      <c r="A431" t="s">
        <v>909</v>
      </c>
      <c r="B431" s="6" t="s">
        <v>910</v>
      </c>
      <c r="C431" s="7">
        <v>282.54750000000001</v>
      </c>
    </row>
    <row r="432" spans="1:3" x14ac:dyDescent="0.35">
      <c r="A432" t="s">
        <v>911</v>
      </c>
      <c r="B432" s="6" t="s">
        <v>912</v>
      </c>
      <c r="C432" s="7">
        <v>174.23740000000001</v>
      </c>
    </row>
    <row r="433" hidden="1" x14ac:dyDescent="0.35"/>
  </sheetData>
  <autoFilter ref="A1:C433" xr:uid="{79BF10A9-E9B8-48FF-A1FE-24CBAF265F15}">
    <filterColumn colId="0">
      <customFilters>
        <customFilter val="**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EA48B-52CE-458F-86EA-8A858B28C89A}">
  <sheetPr codeName="Sheet14"/>
  <dimension ref="A1:C432"/>
  <sheetViews>
    <sheetView workbookViewId="0">
      <selection activeCell="A11" sqref="A11"/>
    </sheetView>
  </sheetViews>
  <sheetFormatPr defaultRowHeight="14.5" x14ac:dyDescent="0.35"/>
  <cols>
    <col min="1" max="1" width="32.1796875" bestFit="1" customWidth="1"/>
    <col min="2" max="2" width="11.1796875" bestFit="1" customWidth="1"/>
    <col min="3" max="3" width="8.81640625" bestFit="1" customWidth="1"/>
  </cols>
  <sheetData>
    <row r="1" spans="1:3" x14ac:dyDescent="0.35">
      <c r="A1" s="1" t="s">
        <v>1</v>
      </c>
      <c r="B1" s="1" t="s">
        <v>2</v>
      </c>
      <c r="C1" s="1" t="s">
        <v>61</v>
      </c>
    </row>
    <row r="2" spans="1:3" x14ac:dyDescent="0.35">
      <c r="A2" t="s">
        <v>62</v>
      </c>
      <c r="B2" s="6" t="s">
        <v>63</v>
      </c>
      <c r="C2" s="7">
        <v>28.96</v>
      </c>
    </row>
    <row r="3" spans="1:3" x14ac:dyDescent="0.35">
      <c r="A3" t="s">
        <v>64</v>
      </c>
      <c r="B3" s="6" t="s">
        <v>65</v>
      </c>
      <c r="C3" s="7">
        <v>39.948</v>
      </c>
    </row>
    <row r="4" spans="1:3" x14ac:dyDescent="0.35">
      <c r="A4" t="s">
        <v>66</v>
      </c>
      <c r="B4" s="6" t="s">
        <v>67</v>
      </c>
      <c r="C4" s="7">
        <v>159.80799999999999</v>
      </c>
    </row>
    <row r="5" spans="1:3" x14ac:dyDescent="0.35">
      <c r="A5" t="s">
        <v>68</v>
      </c>
      <c r="B5" s="6" t="s">
        <v>69</v>
      </c>
      <c r="C5" s="7">
        <v>153.8227</v>
      </c>
    </row>
    <row r="6" spans="1:3" x14ac:dyDescent="0.35">
      <c r="A6" t="s">
        <v>70</v>
      </c>
      <c r="B6" s="6" t="s">
        <v>71</v>
      </c>
      <c r="C6" s="7">
        <v>28.010100000000001</v>
      </c>
    </row>
    <row r="7" spans="1:3" x14ac:dyDescent="0.35">
      <c r="A7" t="s">
        <v>72</v>
      </c>
      <c r="B7" s="6" t="s">
        <v>73</v>
      </c>
      <c r="C7" s="7">
        <v>44.009500000000003</v>
      </c>
    </row>
    <row r="8" spans="1:3" x14ac:dyDescent="0.35">
      <c r="A8" t="s">
        <v>74</v>
      </c>
      <c r="B8" s="6" t="s">
        <v>75</v>
      </c>
      <c r="C8" s="7">
        <v>76.140699999999995</v>
      </c>
    </row>
    <row r="9" spans="1:3" x14ac:dyDescent="0.35">
      <c r="A9" t="s">
        <v>76</v>
      </c>
      <c r="B9" s="6" t="s">
        <v>77</v>
      </c>
      <c r="C9" s="7">
        <v>98.9161</v>
      </c>
    </row>
    <row r="10" spans="1:3" x14ac:dyDescent="0.35">
      <c r="A10" t="s">
        <v>78</v>
      </c>
      <c r="B10" s="6" t="s">
        <v>79</v>
      </c>
      <c r="C10" s="7">
        <v>181.83279999999999</v>
      </c>
    </row>
    <row r="11" spans="1:3" x14ac:dyDescent="0.35">
      <c r="A11" t="s">
        <v>80</v>
      </c>
      <c r="B11" s="6" t="s">
        <v>81</v>
      </c>
      <c r="C11" s="7">
        <v>36.460940000000001</v>
      </c>
    </row>
    <row r="12" spans="1:3" x14ac:dyDescent="0.35">
      <c r="A12" t="s">
        <v>82</v>
      </c>
      <c r="B12" s="6" t="s">
        <v>83</v>
      </c>
      <c r="C12" s="7">
        <v>70.906000000000006</v>
      </c>
    </row>
    <row r="13" spans="1:3" x14ac:dyDescent="0.35">
      <c r="A13" t="s">
        <v>84</v>
      </c>
      <c r="B13" s="6" t="s">
        <v>85</v>
      </c>
      <c r="C13" s="7">
        <v>127.91240000000001</v>
      </c>
    </row>
    <row r="14" spans="1:3" x14ac:dyDescent="0.35">
      <c r="A14" t="s">
        <v>86</v>
      </c>
      <c r="B14" s="6" t="s">
        <v>87</v>
      </c>
      <c r="C14" s="7">
        <v>2.0158800000000001</v>
      </c>
    </row>
    <row r="15" spans="1:3" x14ac:dyDescent="0.35">
      <c r="A15" t="s">
        <v>88</v>
      </c>
      <c r="B15" s="6" t="s">
        <v>89</v>
      </c>
      <c r="C15" s="7">
        <v>18.015280000000001</v>
      </c>
    </row>
    <row r="16" spans="1:3" x14ac:dyDescent="0.35">
      <c r="A16" t="s">
        <v>90</v>
      </c>
      <c r="B16" s="6" t="s">
        <v>913</v>
      </c>
      <c r="C16" s="7">
        <v>34.080880000000001</v>
      </c>
    </row>
    <row r="17" spans="1:3" x14ac:dyDescent="0.35">
      <c r="A17" t="s">
        <v>17</v>
      </c>
      <c r="B17" s="6" t="s">
        <v>18</v>
      </c>
      <c r="C17" s="7">
        <v>17.030519999999999</v>
      </c>
    </row>
    <row r="18" spans="1:3" x14ac:dyDescent="0.35">
      <c r="A18" t="s">
        <v>91</v>
      </c>
      <c r="B18" s="6" t="s">
        <v>914</v>
      </c>
      <c r="C18" s="7">
        <v>20.1797</v>
      </c>
    </row>
    <row r="19" spans="1:3" x14ac:dyDescent="0.35">
      <c r="A19" t="s">
        <v>92</v>
      </c>
      <c r="B19" s="6" t="s">
        <v>93</v>
      </c>
      <c r="C19" s="7">
        <v>63.012839999999997</v>
      </c>
    </row>
    <row r="20" spans="1:3" x14ac:dyDescent="0.35">
      <c r="A20" t="s">
        <v>94</v>
      </c>
      <c r="B20" s="6" t="s">
        <v>95</v>
      </c>
      <c r="C20" s="7">
        <v>30.0061</v>
      </c>
    </row>
    <row r="21" spans="1:3" x14ac:dyDescent="0.35">
      <c r="A21" t="s">
        <v>96</v>
      </c>
      <c r="B21" s="6" t="s">
        <v>97</v>
      </c>
      <c r="C21" s="7">
        <v>46.005499999999998</v>
      </c>
    </row>
    <row r="22" spans="1:3" x14ac:dyDescent="0.35">
      <c r="A22" t="s">
        <v>98</v>
      </c>
      <c r="B22" s="6" t="s">
        <v>99</v>
      </c>
      <c r="C22" s="7">
        <v>28.013400000000001</v>
      </c>
    </row>
    <row r="23" spans="1:3" x14ac:dyDescent="0.35">
      <c r="A23" t="s">
        <v>100</v>
      </c>
      <c r="B23" s="6" t="s">
        <v>101</v>
      </c>
      <c r="C23" s="7">
        <v>44.012799999999999</v>
      </c>
    </row>
    <row r="24" spans="1:3" x14ac:dyDescent="0.35">
      <c r="A24" t="s">
        <v>102</v>
      </c>
      <c r="B24" s="6" t="s">
        <v>103</v>
      </c>
      <c r="C24" s="7">
        <v>31.998799999999999</v>
      </c>
    </row>
    <row r="25" spans="1:3" x14ac:dyDescent="0.35">
      <c r="A25" t="s">
        <v>104</v>
      </c>
      <c r="B25" s="6" t="s">
        <v>915</v>
      </c>
      <c r="C25" s="7">
        <v>64.063800000000001</v>
      </c>
    </row>
    <row r="26" spans="1:3" x14ac:dyDescent="0.35">
      <c r="A26" t="s">
        <v>105</v>
      </c>
      <c r="B26" s="6" t="s">
        <v>916</v>
      </c>
      <c r="C26" s="7">
        <v>80.063199999999995</v>
      </c>
    </row>
    <row r="27" spans="1:3" x14ac:dyDescent="0.35">
      <c r="A27" t="s">
        <v>106</v>
      </c>
      <c r="B27" s="6" t="s">
        <v>107</v>
      </c>
      <c r="C27" s="7">
        <v>119.3776</v>
      </c>
    </row>
    <row r="28" spans="1:3" x14ac:dyDescent="0.35">
      <c r="A28" t="s">
        <v>108</v>
      </c>
      <c r="B28" s="6" t="s">
        <v>109</v>
      </c>
      <c r="C28" s="7">
        <v>27.02534</v>
      </c>
    </row>
    <row r="29" spans="1:3" x14ac:dyDescent="0.35">
      <c r="A29" t="s">
        <v>110</v>
      </c>
      <c r="B29" s="6" t="s">
        <v>111</v>
      </c>
      <c r="C29" s="7">
        <v>30.025980000000001</v>
      </c>
    </row>
    <row r="30" spans="1:3" x14ac:dyDescent="0.35">
      <c r="A30" t="s">
        <v>112</v>
      </c>
      <c r="B30" s="6" t="s">
        <v>113</v>
      </c>
      <c r="C30" s="7">
        <v>50.487520000000004</v>
      </c>
    </row>
    <row r="31" spans="1:3" x14ac:dyDescent="0.35">
      <c r="A31" t="s">
        <v>114</v>
      </c>
      <c r="B31" s="6" t="s">
        <v>115</v>
      </c>
      <c r="C31" s="7">
        <v>141.93899999999999</v>
      </c>
    </row>
    <row r="32" spans="1:3" x14ac:dyDescent="0.35">
      <c r="A32" t="s">
        <v>116</v>
      </c>
      <c r="B32" s="6" t="s">
        <v>117</v>
      </c>
      <c r="C32" s="7">
        <v>16.042459999999998</v>
      </c>
    </row>
    <row r="33" spans="1:3" x14ac:dyDescent="0.35">
      <c r="A33" t="s">
        <v>118</v>
      </c>
      <c r="B33" s="6" t="s">
        <v>119</v>
      </c>
      <c r="C33" s="7">
        <v>32.04186</v>
      </c>
    </row>
    <row r="34" spans="1:3" x14ac:dyDescent="0.35">
      <c r="A34" t="s">
        <v>120</v>
      </c>
      <c r="B34" s="6" t="s">
        <v>121</v>
      </c>
      <c r="C34" s="7">
        <v>31.057099999999998</v>
      </c>
    </row>
    <row r="35" spans="1:3" x14ac:dyDescent="0.35">
      <c r="A35" t="s">
        <v>122</v>
      </c>
      <c r="B35" s="6" t="s">
        <v>123</v>
      </c>
      <c r="C35" s="7">
        <v>131.38829999999999</v>
      </c>
    </row>
    <row r="36" spans="1:3" x14ac:dyDescent="0.35">
      <c r="A36" t="s">
        <v>124</v>
      </c>
      <c r="B36" s="6" t="s">
        <v>125</v>
      </c>
      <c r="C36" s="7">
        <v>147.3877</v>
      </c>
    </row>
    <row r="37" spans="1:3" x14ac:dyDescent="0.35">
      <c r="A37" t="s">
        <v>126</v>
      </c>
      <c r="B37" s="6" t="s">
        <v>127</v>
      </c>
      <c r="C37" s="7">
        <v>147.3877</v>
      </c>
    </row>
    <row r="38" spans="1:3" x14ac:dyDescent="0.35">
      <c r="A38" t="s">
        <v>128</v>
      </c>
      <c r="B38" s="6" t="s">
        <v>129</v>
      </c>
      <c r="C38" s="7">
        <v>26.037279999999999</v>
      </c>
    </row>
    <row r="39" spans="1:3" x14ac:dyDescent="0.35">
      <c r="A39" t="s">
        <v>130</v>
      </c>
      <c r="B39" s="6" t="s">
        <v>131</v>
      </c>
      <c r="C39" s="7">
        <v>112.9427</v>
      </c>
    </row>
    <row r="40" spans="1:3" x14ac:dyDescent="0.35">
      <c r="A40" t="s">
        <v>132</v>
      </c>
      <c r="B40" s="6" t="s">
        <v>133</v>
      </c>
      <c r="C40" s="7">
        <v>62.498220000000003</v>
      </c>
    </row>
    <row r="41" spans="1:3" x14ac:dyDescent="0.35">
      <c r="A41" t="s">
        <v>134</v>
      </c>
      <c r="B41" s="6" t="s">
        <v>135</v>
      </c>
      <c r="C41" s="7">
        <v>78.497619999999998</v>
      </c>
    </row>
    <row r="42" spans="1:3" x14ac:dyDescent="0.35">
      <c r="A42" t="s">
        <v>136</v>
      </c>
      <c r="B42" s="6" t="s">
        <v>137</v>
      </c>
      <c r="C42" s="7">
        <v>133.4042</v>
      </c>
    </row>
    <row r="43" spans="1:3" x14ac:dyDescent="0.35">
      <c r="A43" t="s">
        <v>138</v>
      </c>
      <c r="B43" s="6" t="s">
        <v>139</v>
      </c>
      <c r="C43" s="7">
        <v>41.051920000000003</v>
      </c>
    </row>
    <row r="44" spans="1:3" x14ac:dyDescent="0.35">
      <c r="A44" t="s">
        <v>140</v>
      </c>
      <c r="B44" s="6" t="s">
        <v>141</v>
      </c>
      <c r="C44" s="7">
        <v>28.053159999999998</v>
      </c>
    </row>
    <row r="45" spans="1:3" x14ac:dyDescent="0.35">
      <c r="A45" t="s">
        <v>142</v>
      </c>
      <c r="B45" s="6" t="s">
        <v>143</v>
      </c>
      <c r="C45" s="7">
        <v>98.959159999999997</v>
      </c>
    </row>
    <row r="46" spans="1:3" x14ac:dyDescent="0.35">
      <c r="A46" t="s">
        <v>144</v>
      </c>
      <c r="B46" s="6" t="s">
        <v>145</v>
      </c>
      <c r="C46" s="7">
        <v>98.959159999999997</v>
      </c>
    </row>
    <row r="47" spans="1:3" x14ac:dyDescent="0.35">
      <c r="A47" t="s">
        <v>146</v>
      </c>
      <c r="B47" s="6" t="s">
        <v>147</v>
      </c>
      <c r="C47" s="7">
        <v>44.05256</v>
      </c>
    </row>
    <row r="48" spans="1:3" x14ac:dyDescent="0.35">
      <c r="A48" t="s">
        <v>148</v>
      </c>
      <c r="B48" s="6" t="s">
        <v>149</v>
      </c>
      <c r="C48" s="7">
        <v>44.05256</v>
      </c>
    </row>
    <row r="49" spans="1:3" x14ac:dyDescent="0.35">
      <c r="A49" t="s">
        <v>150</v>
      </c>
      <c r="B49" s="6" t="s">
        <v>151</v>
      </c>
      <c r="C49" s="7">
        <v>60.051960000000001</v>
      </c>
    </row>
    <row r="50" spans="1:3" x14ac:dyDescent="0.35">
      <c r="A50" t="s">
        <v>152</v>
      </c>
      <c r="B50" s="6" t="s">
        <v>153</v>
      </c>
      <c r="C50" s="7">
        <v>60.051960000000001</v>
      </c>
    </row>
    <row r="51" spans="1:3" x14ac:dyDescent="0.35">
      <c r="A51" t="s">
        <v>154</v>
      </c>
      <c r="B51" s="6" t="s">
        <v>155</v>
      </c>
      <c r="C51" s="7">
        <v>64.514099999999999</v>
      </c>
    </row>
    <row r="52" spans="1:3" x14ac:dyDescent="0.35">
      <c r="A52" t="s">
        <v>156</v>
      </c>
      <c r="B52" s="6" t="s">
        <v>157</v>
      </c>
      <c r="C52" s="7">
        <v>30.069040000000001</v>
      </c>
    </row>
    <row r="53" spans="1:3" x14ac:dyDescent="0.35">
      <c r="A53" t="s">
        <v>158</v>
      </c>
      <c r="B53" s="6" t="s">
        <v>159</v>
      </c>
      <c r="C53" s="7">
        <v>46.068440000000002</v>
      </c>
    </row>
    <row r="54" spans="1:3" x14ac:dyDescent="0.35">
      <c r="A54" t="s">
        <v>160</v>
      </c>
      <c r="B54" s="6" t="s">
        <v>161</v>
      </c>
      <c r="C54" s="7">
        <v>46.068440000000002</v>
      </c>
    </row>
    <row r="55" spans="1:3" x14ac:dyDescent="0.35">
      <c r="A55" t="s">
        <v>162</v>
      </c>
      <c r="B55" s="6" t="s">
        <v>163</v>
      </c>
      <c r="C55" s="7">
        <v>62.067839999999997</v>
      </c>
    </row>
    <row r="56" spans="1:3" x14ac:dyDescent="0.35">
      <c r="A56" t="s">
        <v>164</v>
      </c>
      <c r="B56" s="6" t="s">
        <v>165</v>
      </c>
      <c r="C56" s="7">
        <v>62.134039999999999</v>
      </c>
    </row>
    <row r="57" spans="1:3" x14ac:dyDescent="0.35">
      <c r="A57" t="s">
        <v>166</v>
      </c>
      <c r="B57" s="6" t="s">
        <v>167</v>
      </c>
      <c r="C57" s="7">
        <v>62.134039999999999</v>
      </c>
    </row>
    <row r="58" spans="1:3" x14ac:dyDescent="0.35">
      <c r="A58" t="s">
        <v>168</v>
      </c>
      <c r="B58" s="6" t="s">
        <v>169</v>
      </c>
      <c r="C58" s="7">
        <v>45.083680000000001</v>
      </c>
    </row>
    <row r="59" spans="1:3" x14ac:dyDescent="0.35">
      <c r="A59" t="s">
        <v>170</v>
      </c>
      <c r="B59" s="6" t="s">
        <v>171</v>
      </c>
      <c r="C59" s="7">
        <v>53.062620000000003</v>
      </c>
    </row>
    <row r="60" spans="1:3" x14ac:dyDescent="0.35">
      <c r="A60" t="s">
        <v>172</v>
      </c>
      <c r="B60" s="6" t="s">
        <v>173</v>
      </c>
      <c r="C60" s="7">
        <v>40.063859999999998</v>
      </c>
    </row>
    <row r="61" spans="1:3" x14ac:dyDescent="0.35">
      <c r="A61" t="s">
        <v>174</v>
      </c>
      <c r="B61" s="6" t="s">
        <v>175</v>
      </c>
      <c r="C61" s="7">
        <v>40.063859999999998</v>
      </c>
    </row>
    <row r="62" spans="1:3" x14ac:dyDescent="0.35">
      <c r="A62" t="s">
        <v>176</v>
      </c>
      <c r="B62" s="6" t="s">
        <v>177</v>
      </c>
      <c r="C62" s="7">
        <v>42.079740000000001</v>
      </c>
    </row>
    <row r="63" spans="1:3" x14ac:dyDescent="0.35">
      <c r="A63" t="s">
        <v>178</v>
      </c>
      <c r="B63" s="6" t="s">
        <v>179</v>
      </c>
      <c r="C63" s="7">
        <v>58.079140000000002</v>
      </c>
    </row>
    <row r="64" spans="1:3" x14ac:dyDescent="0.35">
      <c r="A64" t="s">
        <v>180</v>
      </c>
      <c r="B64" s="6" t="s">
        <v>181</v>
      </c>
      <c r="C64" s="7">
        <v>74.078540000000004</v>
      </c>
    </row>
    <row r="65" spans="1:3" x14ac:dyDescent="0.35">
      <c r="A65" t="s">
        <v>182</v>
      </c>
      <c r="B65" s="6" t="s">
        <v>183</v>
      </c>
      <c r="C65" s="7">
        <v>74.078540000000004</v>
      </c>
    </row>
    <row r="66" spans="1:3" x14ac:dyDescent="0.35">
      <c r="A66" t="s">
        <v>184</v>
      </c>
      <c r="B66" s="6" t="s">
        <v>185</v>
      </c>
      <c r="C66" s="7">
        <v>74.078540000000004</v>
      </c>
    </row>
    <row r="67" spans="1:3" x14ac:dyDescent="0.35">
      <c r="A67" t="s">
        <v>186</v>
      </c>
      <c r="B67" s="6" t="s">
        <v>187</v>
      </c>
      <c r="C67" s="7">
        <v>73.093779999999995</v>
      </c>
    </row>
    <row r="68" spans="1:3" x14ac:dyDescent="0.35">
      <c r="A68" t="s">
        <v>188</v>
      </c>
      <c r="B68" s="6" t="s">
        <v>189</v>
      </c>
      <c r="C68" s="7">
        <v>44.095619999999997</v>
      </c>
    </row>
    <row r="69" spans="1:3" x14ac:dyDescent="0.35">
      <c r="A69" t="s">
        <v>190</v>
      </c>
      <c r="B69" s="6" t="s">
        <v>191</v>
      </c>
      <c r="C69" s="7">
        <v>60.095019999999998</v>
      </c>
    </row>
    <row r="70" spans="1:3" x14ac:dyDescent="0.35">
      <c r="A70" t="s">
        <v>192</v>
      </c>
      <c r="B70" s="6" t="s">
        <v>193</v>
      </c>
      <c r="C70" s="7">
        <v>60.095019999999998</v>
      </c>
    </row>
    <row r="71" spans="1:3" x14ac:dyDescent="0.35">
      <c r="A71" t="s">
        <v>194</v>
      </c>
      <c r="B71" s="6" t="s">
        <v>195</v>
      </c>
      <c r="C71" s="7">
        <v>59.110259999999997</v>
      </c>
    </row>
    <row r="72" spans="1:3" x14ac:dyDescent="0.35">
      <c r="A72" t="s">
        <v>196</v>
      </c>
      <c r="B72" s="6" t="s">
        <v>197</v>
      </c>
      <c r="C72" s="7">
        <v>52.074559999999998</v>
      </c>
    </row>
    <row r="73" spans="1:3" x14ac:dyDescent="0.35">
      <c r="A73" t="s">
        <v>198</v>
      </c>
      <c r="B73" s="6" t="s">
        <v>199</v>
      </c>
      <c r="C73" s="7">
        <v>84.139560000000003</v>
      </c>
    </row>
    <row r="74" spans="1:3" x14ac:dyDescent="0.35">
      <c r="A74" t="s">
        <v>200</v>
      </c>
      <c r="B74" s="6" t="s">
        <v>201</v>
      </c>
      <c r="C74" s="7">
        <v>67.089200000000005</v>
      </c>
    </row>
    <row r="75" spans="1:3" x14ac:dyDescent="0.35">
      <c r="A75" t="s">
        <v>202</v>
      </c>
      <c r="B75" s="6" t="s">
        <v>203</v>
      </c>
      <c r="C75" s="7">
        <v>54.090440000000001</v>
      </c>
    </row>
    <row r="76" spans="1:3" x14ac:dyDescent="0.35">
      <c r="A76" t="s">
        <v>204</v>
      </c>
      <c r="B76" s="6" t="s">
        <v>205</v>
      </c>
      <c r="C76" s="7">
        <v>54.090440000000001</v>
      </c>
    </row>
    <row r="77" spans="1:3" x14ac:dyDescent="0.35">
      <c r="A77" t="s">
        <v>206</v>
      </c>
      <c r="B77" s="6" t="s">
        <v>207</v>
      </c>
      <c r="C77" s="7">
        <v>54.090440000000001</v>
      </c>
    </row>
    <row r="78" spans="1:3" x14ac:dyDescent="0.35">
      <c r="A78" t="s">
        <v>208</v>
      </c>
      <c r="B78" s="6" t="s">
        <v>209</v>
      </c>
      <c r="C78" s="7">
        <v>54.090440000000001</v>
      </c>
    </row>
    <row r="79" spans="1:3" x14ac:dyDescent="0.35">
      <c r="A79" t="s">
        <v>210</v>
      </c>
      <c r="B79" s="6" t="s">
        <v>211</v>
      </c>
      <c r="C79" s="7">
        <v>56.106319999999997</v>
      </c>
    </row>
    <row r="80" spans="1:3" x14ac:dyDescent="0.35">
      <c r="A80" t="s">
        <v>212</v>
      </c>
      <c r="B80" s="6" t="s">
        <v>213</v>
      </c>
      <c r="C80" s="7">
        <v>56.106319999999997</v>
      </c>
    </row>
    <row r="81" spans="1:3" x14ac:dyDescent="0.35">
      <c r="A81" t="s">
        <v>214</v>
      </c>
      <c r="B81" s="6" t="s">
        <v>215</v>
      </c>
      <c r="C81" s="7">
        <v>56.106319999999997</v>
      </c>
    </row>
    <row r="82" spans="1:3" x14ac:dyDescent="0.35">
      <c r="A82" t="s">
        <v>216</v>
      </c>
      <c r="B82" s="6" t="s">
        <v>217</v>
      </c>
      <c r="C82" s="7">
        <v>56.106319999999997</v>
      </c>
    </row>
    <row r="83" spans="1:3" x14ac:dyDescent="0.35">
      <c r="A83" t="s">
        <v>218</v>
      </c>
      <c r="B83" s="6" t="s">
        <v>219</v>
      </c>
      <c r="C83" s="7">
        <v>72.105720000000005</v>
      </c>
    </row>
    <row r="84" spans="1:3" x14ac:dyDescent="0.35">
      <c r="A84" t="s">
        <v>220</v>
      </c>
      <c r="B84" s="6" t="s">
        <v>221</v>
      </c>
      <c r="C84" s="7">
        <v>72.105720000000005</v>
      </c>
    </row>
    <row r="85" spans="1:3" x14ac:dyDescent="0.35">
      <c r="A85" t="s">
        <v>222</v>
      </c>
      <c r="B85" s="6" t="s">
        <v>223</v>
      </c>
      <c r="C85" s="7">
        <v>72.105720000000005</v>
      </c>
    </row>
    <row r="86" spans="1:3" x14ac:dyDescent="0.35">
      <c r="A86" t="s">
        <v>224</v>
      </c>
      <c r="B86" s="6" t="s">
        <v>225</v>
      </c>
      <c r="C86" s="7">
        <v>88.105130000000003</v>
      </c>
    </row>
    <row r="87" spans="1:3" x14ac:dyDescent="0.35">
      <c r="A87" t="s">
        <v>226</v>
      </c>
      <c r="B87" s="6" t="s">
        <v>227</v>
      </c>
      <c r="C87" s="7">
        <v>88.105130000000003</v>
      </c>
    </row>
    <row r="88" spans="1:3" x14ac:dyDescent="0.35">
      <c r="A88" t="s">
        <v>228</v>
      </c>
      <c r="B88" s="6" t="s">
        <v>229</v>
      </c>
      <c r="C88" s="7">
        <v>88.105130000000003</v>
      </c>
    </row>
    <row r="89" spans="1:3" x14ac:dyDescent="0.35">
      <c r="A89" t="s">
        <v>230</v>
      </c>
      <c r="B89" s="6" t="s">
        <v>231</v>
      </c>
      <c r="C89" s="7">
        <v>88.105130000000003</v>
      </c>
    </row>
    <row r="90" spans="1:3" x14ac:dyDescent="0.35">
      <c r="A90" t="s">
        <v>232</v>
      </c>
      <c r="B90" s="6" t="s">
        <v>233</v>
      </c>
      <c r="C90" s="7">
        <v>88.105130000000003</v>
      </c>
    </row>
    <row r="91" spans="1:3" x14ac:dyDescent="0.35">
      <c r="A91" t="s">
        <v>234</v>
      </c>
      <c r="B91" s="6" t="s">
        <v>235</v>
      </c>
      <c r="C91" s="7">
        <v>120.17010000000001</v>
      </c>
    </row>
    <row r="92" spans="1:3" x14ac:dyDescent="0.35">
      <c r="A92" t="s">
        <v>236</v>
      </c>
      <c r="B92" s="6" t="s">
        <v>237</v>
      </c>
      <c r="C92" s="7">
        <v>87.120360000000005</v>
      </c>
    </row>
    <row r="93" spans="1:3" x14ac:dyDescent="0.35">
      <c r="A93" t="s">
        <v>238</v>
      </c>
      <c r="B93" s="6" t="s">
        <v>239</v>
      </c>
      <c r="C93" s="7">
        <v>58.122199999999999</v>
      </c>
    </row>
    <row r="94" spans="1:3" x14ac:dyDescent="0.35">
      <c r="A94" t="s">
        <v>240</v>
      </c>
      <c r="B94" s="6" t="s">
        <v>241</v>
      </c>
      <c r="C94" s="7">
        <v>58.122199999999999</v>
      </c>
    </row>
    <row r="95" spans="1:3" x14ac:dyDescent="0.35">
      <c r="A95" t="s">
        <v>242</v>
      </c>
      <c r="B95" s="6" t="s">
        <v>243</v>
      </c>
      <c r="C95" s="7">
        <v>74.121600000000001</v>
      </c>
    </row>
    <row r="96" spans="1:3" x14ac:dyDescent="0.35">
      <c r="A96" t="s">
        <v>244</v>
      </c>
      <c r="B96" s="6" t="s">
        <v>245</v>
      </c>
      <c r="C96" s="7">
        <v>74.121600000000001</v>
      </c>
    </row>
    <row r="97" spans="1:3" x14ac:dyDescent="0.35">
      <c r="A97" t="s">
        <v>246</v>
      </c>
      <c r="B97" s="6" t="s">
        <v>247</v>
      </c>
      <c r="C97" s="7">
        <v>74.121600000000001</v>
      </c>
    </row>
    <row r="98" spans="1:3" x14ac:dyDescent="0.35">
      <c r="A98" t="s">
        <v>248</v>
      </c>
      <c r="B98" s="6" t="s">
        <v>249</v>
      </c>
      <c r="C98" s="7">
        <v>74.121600000000001</v>
      </c>
    </row>
    <row r="99" spans="1:3" x14ac:dyDescent="0.35">
      <c r="A99" t="s">
        <v>250</v>
      </c>
      <c r="B99" s="6" t="s">
        <v>251</v>
      </c>
      <c r="C99" s="7">
        <v>74.121600000000001</v>
      </c>
    </row>
    <row r="100" spans="1:3" x14ac:dyDescent="0.35">
      <c r="A100" t="s">
        <v>252</v>
      </c>
      <c r="B100" s="6" t="s">
        <v>253</v>
      </c>
      <c r="C100" s="7">
        <v>106.1204</v>
      </c>
    </row>
    <row r="101" spans="1:3" x14ac:dyDescent="0.35">
      <c r="A101" t="s">
        <v>254</v>
      </c>
      <c r="B101" s="6" t="s">
        <v>255</v>
      </c>
      <c r="C101" s="7">
        <v>73.136840000000007</v>
      </c>
    </row>
    <row r="102" spans="1:3" x14ac:dyDescent="0.35">
      <c r="A102" t="s">
        <v>256</v>
      </c>
      <c r="B102" s="6" t="s">
        <v>257</v>
      </c>
      <c r="C102" s="7">
        <v>96.084059999999994</v>
      </c>
    </row>
    <row r="103" spans="1:3" x14ac:dyDescent="0.35">
      <c r="A103" t="s">
        <v>258</v>
      </c>
      <c r="B103" s="6" t="s">
        <v>259</v>
      </c>
      <c r="C103" s="7">
        <v>79.099900000000005</v>
      </c>
    </row>
    <row r="104" spans="1:3" x14ac:dyDescent="0.35">
      <c r="A104" t="s">
        <v>260</v>
      </c>
      <c r="B104" s="6" t="s">
        <v>261</v>
      </c>
      <c r="C104" s="7">
        <v>68.117019999999997</v>
      </c>
    </row>
    <row r="105" spans="1:3" x14ac:dyDescent="0.35">
      <c r="A105" t="s">
        <v>262</v>
      </c>
      <c r="B105" s="6" t="s">
        <v>263</v>
      </c>
      <c r="C105" s="7">
        <v>70.132900000000006</v>
      </c>
    </row>
    <row r="106" spans="1:3" x14ac:dyDescent="0.35">
      <c r="A106" t="s">
        <v>264</v>
      </c>
      <c r="B106" s="6" t="s">
        <v>265</v>
      </c>
      <c r="C106" s="7">
        <v>70.132900000000006</v>
      </c>
    </row>
    <row r="107" spans="1:3" x14ac:dyDescent="0.35">
      <c r="A107" t="s">
        <v>266</v>
      </c>
      <c r="B107" s="6" t="s">
        <v>267</v>
      </c>
      <c r="C107" s="7">
        <v>70.132900000000006</v>
      </c>
    </row>
    <row r="108" spans="1:3" x14ac:dyDescent="0.35">
      <c r="A108" t="s">
        <v>268</v>
      </c>
      <c r="B108" s="6" t="s">
        <v>269</v>
      </c>
      <c r="C108" s="7">
        <v>70.132900000000006</v>
      </c>
    </row>
    <row r="109" spans="1:3" x14ac:dyDescent="0.35">
      <c r="A109" t="s">
        <v>270</v>
      </c>
      <c r="B109" s="6" t="s">
        <v>271</v>
      </c>
      <c r="C109" s="7">
        <v>70.132900000000006</v>
      </c>
    </row>
    <row r="110" spans="1:3" x14ac:dyDescent="0.35">
      <c r="A110" t="s">
        <v>272</v>
      </c>
      <c r="B110" s="6" t="s">
        <v>273</v>
      </c>
      <c r="C110" s="7">
        <v>70.132900000000006</v>
      </c>
    </row>
    <row r="111" spans="1:3" x14ac:dyDescent="0.35">
      <c r="A111" t="s">
        <v>274</v>
      </c>
      <c r="B111" s="6" t="s">
        <v>275</v>
      </c>
      <c r="C111" s="7">
        <v>70.132900000000006</v>
      </c>
    </row>
    <row r="112" spans="1:3" x14ac:dyDescent="0.35">
      <c r="A112" t="s">
        <v>276</v>
      </c>
      <c r="B112" s="6" t="s">
        <v>277</v>
      </c>
      <c r="C112" s="7">
        <v>86.132300000000001</v>
      </c>
    </row>
    <row r="113" spans="1:3" x14ac:dyDescent="0.35">
      <c r="A113" t="s">
        <v>278</v>
      </c>
      <c r="B113" s="6" t="s">
        <v>279</v>
      </c>
      <c r="C113" s="7">
        <v>86.132300000000001</v>
      </c>
    </row>
    <row r="114" spans="1:3" x14ac:dyDescent="0.35">
      <c r="A114" t="s">
        <v>280</v>
      </c>
      <c r="B114" s="6" t="s">
        <v>281</v>
      </c>
      <c r="C114" s="7">
        <v>102.1317</v>
      </c>
    </row>
    <row r="115" spans="1:3" x14ac:dyDescent="0.35">
      <c r="A115" t="s">
        <v>282</v>
      </c>
      <c r="B115" s="6" t="s">
        <v>283</v>
      </c>
      <c r="C115" s="7">
        <v>72.148780000000002</v>
      </c>
    </row>
    <row r="116" spans="1:3" x14ac:dyDescent="0.35">
      <c r="A116" t="s">
        <v>284</v>
      </c>
      <c r="B116" s="6" t="s">
        <v>285</v>
      </c>
      <c r="C116" s="7">
        <v>72.148780000000002</v>
      </c>
    </row>
    <row r="117" spans="1:3" x14ac:dyDescent="0.35">
      <c r="A117" t="s">
        <v>286</v>
      </c>
      <c r="B117" s="6" t="s">
        <v>287</v>
      </c>
      <c r="C117" s="7">
        <v>72.148780000000002</v>
      </c>
    </row>
    <row r="118" spans="1:3" x14ac:dyDescent="0.35">
      <c r="A118" t="s">
        <v>288</v>
      </c>
      <c r="B118" s="6" t="s">
        <v>289</v>
      </c>
      <c r="C118" s="7">
        <v>181.447</v>
      </c>
    </row>
    <row r="119" spans="1:3" x14ac:dyDescent="0.35">
      <c r="A119" t="s">
        <v>290</v>
      </c>
      <c r="B119" s="6" t="s">
        <v>291</v>
      </c>
      <c r="C119" s="7">
        <v>147.00200000000001</v>
      </c>
    </row>
    <row r="120" spans="1:3" x14ac:dyDescent="0.35">
      <c r="A120" t="s">
        <v>292</v>
      </c>
      <c r="B120" s="6" t="s">
        <v>293</v>
      </c>
      <c r="C120" s="7">
        <v>147.00200000000001</v>
      </c>
    </row>
    <row r="121" spans="1:3" x14ac:dyDescent="0.35">
      <c r="A121" t="s">
        <v>294</v>
      </c>
      <c r="B121" s="6" t="s">
        <v>295</v>
      </c>
      <c r="C121" s="7">
        <v>147.00200000000001</v>
      </c>
    </row>
    <row r="122" spans="1:3" x14ac:dyDescent="0.35">
      <c r="A122" t="s">
        <v>296</v>
      </c>
      <c r="B122" s="6" t="s">
        <v>297</v>
      </c>
      <c r="C122" s="7">
        <v>157.00790000000001</v>
      </c>
    </row>
    <row r="123" spans="1:3" x14ac:dyDescent="0.35">
      <c r="A123" t="s">
        <v>298</v>
      </c>
      <c r="B123" s="6" t="s">
        <v>299</v>
      </c>
      <c r="C123" s="7">
        <v>112.5569</v>
      </c>
    </row>
    <row r="124" spans="1:3" x14ac:dyDescent="0.35">
      <c r="A124" t="s">
        <v>300</v>
      </c>
      <c r="B124" s="6" t="s">
        <v>301</v>
      </c>
      <c r="C124" s="7">
        <v>204.00839999999999</v>
      </c>
    </row>
    <row r="125" spans="1:3" x14ac:dyDescent="0.35">
      <c r="A125" t="s">
        <v>302</v>
      </c>
      <c r="B125" s="6" t="s">
        <v>303</v>
      </c>
      <c r="C125" s="7">
        <v>123.10939999999999</v>
      </c>
    </row>
    <row r="126" spans="1:3" x14ac:dyDescent="0.35">
      <c r="A126" t="s">
        <v>304</v>
      </c>
      <c r="B126" s="6" t="s">
        <v>305</v>
      </c>
      <c r="C126" s="7">
        <v>78.111840000000001</v>
      </c>
    </row>
    <row r="127" spans="1:3" x14ac:dyDescent="0.35">
      <c r="A127" t="s">
        <v>306</v>
      </c>
      <c r="B127" s="6" t="s">
        <v>307</v>
      </c>
      <c r="C127" s="7">
        <v>94.111239999999995</v>
      </c>
    </row>
    <row r="128" spans="1:3" x14ac:dyDescent="0.35">
      <c r="A128" t="s">
        <v>308</v>
      </c>
      <c r="B128" s="6" t="s">
        <v>309</v>
      </c>
      <c r="C128" s="7">
        <v>93.126480000000001</v>
      </c>
    </row>
    <row r="129" spans="1:3" x14ac:dyDescent="0.35">
      <c r="A129" t="s">
        <v>310</v>
      </c>
      <c r="B129" s="6" t="s">
        <v>311</v>
      </c>
      <c r="C129" s="7">
        <v>98.143000000000001</v>
      </c>
    </row>
    <row r="130" spans="1:3" x14ac:dyDescent="0.35">
      <c r="A130" t="s">
        <v>312</v>
      </c>
      <c r="B130" s="6" t="s">
        <v>313</v>
      </c>
      <c r="C130" s="7">
        <v>84.159480000000002</v>
      </c>
    </row>
    <row r="131" spans="1:3" x14ac:dyDescent="0.35">
      <c r="A131" t="s">
        <v>314</v>
      </c>
      <c r="B131" s="6" t="s">
        <v>315</v>
      </c>
      <c r="C131" s="7">
        <v>84.159480000000002</v>
      </c>
    </row>
    <row r="132" spans="1:3" x14ac:dyDescent="0.35">
      <c r="A132" t="s">
        <v>316</v>
      </c>
      <c r="B132" s="6" t="s">
        <v>317</v>
      </c>
      <c r="C132" s="7">
        <v>84.159480000000002</v>
      </c>
    </row>
    <row r="133" spans="1:3" x14ac:dyDescent="0.35">
      <c r="A133" t="s">
        <v>318</v>
      </c>
      <c r="B133" s="6" t="s">
        <v>319</v>
      </c>
      <c r="C133" s="7">
        <v>100.1589</v>
      </c>
    </row>
    <row r="134" spans="1:3" x14ac:dyDescent="0.35">
      <c r="A134" t="s">
        <v>320</v>
      </c>
      <c r="B134" s="6" t="s">
        <v>321</v>
      </c>
      <c r="C134" s="7">
        <v>86.175359999999998</v>
      </c>
    </row>
    <row r="135" spans="1:3" x14ac:dyDescent="0.35">
      <c r="A135" t="s">
        <v>322</v>
      </c>
      <c r="B135" s="6" t="s">
        <v>323</v>
      </c>
      <c r="C135" s="7">
        <v>86.175359999999998</v>
      </c>
    </row>
    <row r="136" spans="1:3" x14ac:dyDescent="0.35">
      <c r="A136" t="s">
        <v>324</v>
      </c>
      <c r="B136" s="6" t="s">
        <v>325</v>
      </c>
      <c r="C136" s="7">
        <v>86.175359999999998</v>
      </c>
    </row>
    <row r="137" spans="1:3" x14ac:dyDescent="0.35">
      <c r="A137" t="s">
        <v>326</v>
      </c>
      <c r="B137" s="6" t="s">
        <v>327</v>
      </c>
      <c r="C137" s="7">
        <v>86.175359999999998</v>
      </c>
    </row>
    <row r="138" spans="1:3" x14ac:dyDescent="0.35">
      <c r="A138" t="s">
        <v>328</v>
      </c>
      <c r="B138" s="6" t="s">
        <v>329</v>
      </c>
      <c r="C138" s="7">
        <v>86.175359999999998</v>
      </c>
    </row>
    <row r="139" spans="1:3" x14ac:dyDescent="0.35">
      <c r="A139" t="s">
        <v>330</v>
      </c>
      <c r="B139" s="6" t="s">
        <v>331</v>
      </c>
      <c r="C139" s="7">
        <v>150.173</v>
      </c>
    </row>
    <row r="140" spans="1:3" x14ac:dyDescent="0.35">
      <c r="A140" t="s">
        <v>332</v>
      </c>
      <c r="B140" s="6" t="s">
        <v>333</v>
      </c>
      <c r="C140" s="7">
        <v>101.19</v>
      </c>
    </row>
    <row r="141" spans="1:3" x14ac:dyDescent="0.35">
      <c r="A141" t="s">
        <v>334</v>
      </c>
      <c r="B141" s="6" t="s">
        <v>335</v>
      </c>
      <c r="C141" s="7">
        <v>92.13843</v>
      </c>
    </row>
    <row r="142" spans="1:3" x14ac:dyDescent="0.35">
      <c r="A142" t="s">
        <v>336</v>
      </c>
      <c r="B142" s="6" t="s">
        <v>337</v>
      </c>
      <c r="C142" s="7">
        <v>108.1378</v>
      </c>
    </row>
    <row r="143" spans="1:3" x14ac:dyDescent="0.35">
      <c r="A143" t="s">
        <v>338</v>
      </c>
      <c r="B143" s="6" t="s">
        <v>339</v>
      </c>
      <c r="C143" s="7">
        <v>108.1378</v>
      </c>
    </row>
    <row r="144" spans="1:3" x14ac:dyDescent="0.35">
      <c r="A144" t="s">
        <v>340</v>
      </c>
      <c r="B144" s="6" t="s">
        <v>341</v>
      </c>
      <c r="C144" s="7">
        <v>108.1378</v>
      </c>
    </row>
    <row r="145" spans="1:3" x14ac:dyDescent="0.35">
      <c r="A145" t="s">
        <v>342</v>
      </c>
      <c r="B145" s="6" t="s">
        <v>343</v>
      </c>
      <c r="C145" s="7">
        <v>98.186070000000001</v>
      </c>
    </row>
    <row r="146" spans="1:3" x14ac:dyDescent="0.35">
      <c r="A146" t="s">
        <v>344</v>
      </c>
      <c r="B146" s="6" t="s">
        <v>345</v>
      </c>
      <c r="C146" s="7">
        <v>98.186070000000001</v>
      </c>
    </row>
    <row r="147" spans="1:3" x14ac:dyDescent="0.35">
      <c r="A147" t="s">
        <v>346</v>
      </c>
      <c r="B147" s="6" t="s">
        <v>347</v>
      </c>
      <c r="C147" s="7">
        <v>98.186070000000001</v>
      </c>
    </row>
    <row r="148" spans="1:3" x14ac:dyDescent="0.35">
      <c r="A148" t="s">
        <v>348</v>
      </c>
      <c r="B148" s="6" t="s">
        <v>349</v>
      </c>
      <c r="C148" s="7">
        <v>100.202</v>
      </c>
    </row>
    <row r="149" spans="1:3" x14ac:dyDescent="0.35">
      <c r="A149" t="s">
        <v>350</v>
      </c>
      <c r="B149" s="6" t="s">
        <v>351</v>
      </c>
      <c r="C149" s="7">
        <v>104.149</v>
      </c>
    </row>
    <row r="150" spans="1:3" x14ac:dyDescent="0.35">
      <c r="A150" t="s">
        <v>352</v>
      </c>
      <c r="B150" s="6" t="s">
        <v>353</v>
      </c>
      <c r="C150" s="7">
        <v>106.16500000000001</v>
      </c>
    </row>
    <row r="151" spans="1:3" x14ac:dyDescent="0.35">
      <c r="A151" t="s">
        <v>354</v>
      </c>
      <c r="B151" s="6" t="s">
        <v>355</v>
      </c>
      <c r="C151" s="7">
        <v>106.16500000000001</v>
      </c>
    </row>
    <row r="152" spans="1:3" x14ac:dyDescent="0.35">
      <c r="A152" t="s">
        <v>356</v>
      </c>
      <c r="B152" s="6" t="s">
        <v>357</v>
      </c>
      <c r="C152" s="7">
        <v>106.16500000000001</v>
      </c>
    </row>
    <row r="153" spans="1:3" x14ac:dyDescent="0.35">
      <c r="A153" t="s">
        <v>358</v>
      </c>
      <c r="B153" s="6" t="s">
        <v>359</v>
      </c>
      <c r="C153" s="7">
        <v>106.16500000000001</v>
      </c>
    </row>
    <row r="154" spans="1:3" x14ac:dyDescent="0.35">
      <c r="A154" t="s">
        <v>360</v>
      </c>
      <c r="B154" s="6" t="s">
        <v>361</v>
      </c>
      <c r="C154" s="7">
        <v>112.21259999999999</v>
      </c>
    </row>
    <row r="155" spans="1:3" x14ac:dyDescent="0.35">
      <c r="A155" t="s">
        <v>362</v>
      </c>
      <c r="B155" s="6" t="s">
        <v>363</v>
      </c>
      <c r="C155" s="7">
        <v>112.21259999999999</v>
      </c>
    </row>
    <row r="156" spans="1:3" x14ac:dyDescent="0.35">
      <c r="A156" t="s">
        <v>364</v>
      </c>
      <c r="B156" s="6" t="s">
        <v>365</v>
      </c>
      <c r="C156" s="7">
        <v>114.2285</v>
      </c>
    </row>
    <row r="157" spans="1:3" x14ac:dyDescent="0.35">
      <c r="A157" t="s">
        <v>366</v>
      </c>
      <c r="B157" s="6" t="s">
        <v>367</v>
      </c>
      <c r="C157" s="7">
        <v>114.2285</v>
      </c>
    </row>
    <row r="158" spans="1:3" x14ac:dyDescent="0.35">
      <c r="A158" t="s">
        <v>368</v>
      </c>
      <c r="B158" s="6" t="s">
        <v>369</v>
      </c>
      <c r="C158" s="7">
        <v>114.2285</v>
      </c>
    </row>
    <row r="159" spans="1:3" x14ac:dyDescent="0.35">
      <c r="A159" t="s">
        <v>370</v>
      </c>
      <c r="B159" s="6" t="s">
        <v>371</v>
      </c>
      <c r="C159" s="7">
        <v>114.2285</v>
      </c>
    </row>
    <row r="160" spans="1:3" x14ac:dyDescent="0.35">
      <c r="A160" t="s">
        <v>372</v>
      </c>
      <c r="B160" s="6" t="s">
        <v>373</v>
      </c>
      <c r="C160" s="7">
        <v>114.2285</v>
      </c>
    </row>
    <row r="161" spans="1:3" x14ac:dyDescent="0.35">
      <c r="A161" t="s">
        <v>374</v>
      </c>
      <c r="B161" s="6" t="s">
        <v>375</v>
      </c>
      <c r="C161" s="7">
        <v>194.22550000000001</v>
      </c>
    </row>
    <row r="162" spans="1:3" x14ac:dyDescent="0.35">
      <c r="A162" t="s">
        <v>376</v>
      </c>
      <c r="B162" s="6" t="s">
        <v>377</v>
      </c>
      <c r="C162" s="7">
        <v>116.1598</v>
      </c>
    </row>
    <row r="163" spans="1:3" x14ac:dyDescent="0.35">
      <c r="A163" t="s">
        <v>378</v>
      </c>
      <c r="B163" s="6" t="s">
        <v>379</v>
      </c>
      <c r="C163" s="7">
        <v>118.17570000000001</v>
      </c>
    </row>
    <row r="164" spans="1:3" x14ac:dyDescent="0.35">
      <c r="A164" t="s">
        <v>380</v>
      </c>
      <c r="B164" s="6" t="s">
        <v>381</v>
      </c>
      <c r="C164" s="7">
        <v>120.19159999999999</v>
      </c>
    </row>
    <row r="165" spans="1:3" x14ac:dyDescent="0.35">
      <c r="A165" t="s">
        <v>382</v>
      </c>
      <c r="B165" s="6" t="s">
        <v>383</v>
      </c>
      <c r="C165" s="7">
        <v>120.19159999999999</v>
      </c>
    </row>
    <row r="166" spans="1:3" x14ac:dyDescent="0.35">
      <c r="A166" t="s">
        <v>384</v>
      </c>
      <c r="B166" s="6" t="s">
        <v>385</v>
      </c>
      <c r="C166" s="7">
        <v>126.2392</v>
      </c>
    </row>
    <row r="167" spans="1:3" x14ac:dyDescent="0.35">
      <c r="A167" t="s">
        <v>386</v>
      </c>
      <c r="B167" s="6" t="s">
        <v>387</v>
      </c>
      <c r="C167" s="7">
        <v>128.2551</v>
      </c>
    </row>
    <row r="168" spans="1:3" x14ac:dyDescent="0.35">
      <c r="A168" t="s">
        <v>388</v>
      </c>
      <c r="B168" s="6" t="s">
        <v>389</v>
      </c>
      <c r="C168" s="7">
        <v>128.1705</v>
      </c>
    </row>
    <row r="169" spans="1:3" x14ac:dyDescent="0.35">
      <c r="A169" t="s">
        <v>390</v>
      </c>
      <c r="B169" s="6" t="s">
        <v>391</v>
      </c>
      <c r="C169" s="7">
        <v>130.18639999999999</v>
      </c>
    </row>
    <row r="170" spans="1:3" x14ac:dyDescent="0.35">
      <c r="A170" t="s">
        <v>392</v>
      </c>
      <c r="B170" s="6" t="s">
        <v>393</v>
      </c>
      <c r="C170" s="7">
        <v>130.18639999999999</v>
      </c>
    </row>
    <row r="171" spans="1:3" x14ac:dyDescent="0.35">
      <c r="A171" t="s">
        <v>394</v>
      </c>
      <c r="B171" s="6" t="s">
        <v>395</v>
      </c>
      <c r="C171" s="7">
        <v>132.20230000000001</v>
      </c>
    </row>
    <row r="172" spans="1:3" x14ac:dyDescent="0.35">
      <c r="A172" t="s">
        <v>396</v>
      </c>
      <c r="B172" s="6" t="s">
        <v>397</v>
      </c>
      <c r="C172" s="7">
        <v>134.2182</v>
      </c>
    </row>
    <row r="173" spans="1:3" x14ac:dyDescent="0.35">
      <c r="A173" t="s">
        <v>398</v>
      </c>
      <c r="B173" s="6" t="s">
        <v>399</v>
      </c>
      <c r="C173" s="7">
        <v>140.26580000000001</v>
      </c>
    </row>
    <row r="174" spans="1:3" x14ac:dyDescent="0.35">
      <c r="A174" t="s">
        <v>400</v>
      </c>
      <c r="B174" s="6" t="s">
        <v>401</v>
      </c>
      <c r="C174" s="7">
        <v>142.2817</v>
      </c>
    </row>
    <row r="175" spans="1:3" x14ac:dyDescent="0.35">
      <c r="A175" t="s">
        <v>402</v>
      </c>
      <c r="B175" s="6" t="s">
        <v>403</v>
      </c>
      <c r="C175" s="7">
        <v>142.19710000000001</v>
      </c>
    </row>
    <row r="176" spans="1:3" x14ac:dyDescent="0.35">
      <c r="A176" t="s">
        <v>404</v>
      </c>
      <c r="B176" s="6" t="s">
        <v>405</v>
      </c>
      <c r="C176" s="7">
        <v>142.19710000000001</v>
      </c>
    </row>
    <row r="177" spans="1:3" x14ac:dyDescent="0.35">
      <c r="A177" t="s">
        <v>406</v>
      </c>
      <c r="B177" s="6" t="s">
        <v>407</v>
      </c>
      <c r="C177" s="7">
        <v>156.3083</v>
      </c>
    </row>
    <row r="178" spans="1:3" x14ac:dyDescent="0.35">
      <c r="A178" t="s">
        <v>408</v>
      </c>
      <c r="B178" s="6" t="s">
        <v>409</v>
      </c>
      <c r="C178" s="7">
        <v>154.20779999999999</v>
      </c>
    </row>
    <row r="179" spans="1:3" x14ac:dyDescent="0.35">
      <c r="A179" t="s">
        <v>410</v>
      </c>
      <c r="B179" s="6" t="s">
        <v>411</v>
      </c>
      <c r="C179" s="7">
        <v>154.20779999999999</v>
      </c>
    </row>
    <row r="180" spans="1:3" x14ac:dyDescent="0.35">
      <c r="A180" t="s">
        <v>412</v>
      </c>
      <c r="B180" s="6" t="s">
        <v>413</v>
      </c>
      <c r="C180" s="7">
        <v>170.3348</v>
      </c>
    </row>
    <row r="181" spans="1:3" x14ac:dyDescent="0.35">
      <c r="A181" t="s">
        <v>414</v>
      </c>
      <c r="B181" s="6" t="s">
        <v>415</v>
      </c>
      <c r="C181" s="7">
        <v>166.21850000000001</v>
      </c>
    </row>
    <row r="182" spans="1:3" x14ac:dyDescent="0.35">
      <c r="A182" t="s">
        <v>416</v>
      </c>
      <c r="B182" s="6" t="s">
        <v>417</v>
      </c>
      <c r="C182" s="7">
        <v>184.3614</v>
      </c>
    </row>
    <row r="183" spans="1:3" x14ac:dyDescent="0.35">
      <c r="A183" t="s">
        <v>418</v>
      </c>
      <c r="B183" s="6" t="s">
        <v>419</v>
      </c>
      <c r="C183" s="7">
        <v>178.22919999999999</v>
      </c>
    </row>
    <row r="184" spans="1:3" x14ac:dyDescent="0.35">
      <c r="A184" t="s">
        <v>420</v>
      </c>
      <c r="B184" s="6" t="s">
        <v>421</v>
      </c>
      <c r="C184" s="7">
        <v>198.38800000000001</v>
      </c>
    </row>
    <row r="185" spans="1:3" x14ac:dyDescent="0.35">
      <c r="A185" t="s">
        <v>422</v>
      </c>
      <c r="B185" s="6" t="s">
        <v>423</v>
      </c>
      <c r="C185" s="7">
        <v>212.41460000000001</v>
      </c>
    </row>
    <row r="186" spans="1:3" x14ac:dyDescent="0.35">
      <c r="A186" t="s">
        <v>424</v>
      </c>
      <c r="B186" s="6" t="s">
        <v>425</v>
      </c>
      <c r="C186" s="7">
        <v>202.25059999999999</v>
      </c>
    </row>
    <row r="187" spans="1:3" x14ac:dyDescent="0.35">
      <c r="A187" t="s">
        <v>426</v>
      </c>
      <c r="B187" s="6" t="s">
        <v>427</v>
      </c>
      <c r="C187" s="7">
        <v>202.25059999999999</v>
      </c>
    </row>
    <row r="188" spans="1:3" x14ac:dyDescent="0.35">
      <c r="A188" t="s">
        <v>428</v>
      </c>
      <c r="B188" s="6" t="s">
        <v>429</v>
      </c>
      <c r="C188" s="7">
        <v>204.26650000000001</v>
      </c>
    </row>
    <row r="189" spans="1:3" x14ac:dyDescent="0.35">
      <c r="A189" t="s">
        <v>430</v>
      </c>
      <c r="B189" s="6" t="s">
        <v>431</v>
      </c>
      <c r="C189" s="7">
        <v>226.44120000000001</v>
      </c>
    </row>
    <row r="190" spans="1:3" x14ac:dyDescent="0.35">
      <c r="A190" t="s">
        <v>432</v>
      </c>
      <c r="B190" s="6" t="s">
        <v>433</v>
      </c>
      <c r="C190" s="7">
        <v>228.28790000000001</v>
      </c>
    </row>
    <row r="191" spans="1:3" x14ac:dyDescent="0.35">
      <c r="A191" t="s">
        <v>434</v>
      </c>
      <c r="B191" s="6" t="s">
        <v>435</v>
      </c>
      <c r="C191" s="7">
        <v>138.2499</v>
      </c>
    </row>
    <row r="192" spans="1:3" x14ac:dyDescent="0.35">
      <c r="A192" t="s">
        <v>436</v>
      </c>
      <c r="B192" s="6" t="s">
        <v>437</v>
      </c>
      <c r="C192" s="7">
        <v>138.2499</v>
      </c>
    </row>
    <row r="193" spans="1:3" x14ac:dyDescent="0.35">
      <c r="A193" t="s">
        <v>438</v>
      </c>
      <c r="B193" s="6" t="s">
        <v>439</v>
      </c>
      <c r="C193" s="7">
        <v>88.148179999999996</v>
      </c>
    </row>
    <row r="194" spans="1:3" x14ac:dyDescent="0.35">
      <c r="A194" t="s">
        <v>440</v>
      </c>
      <c r="B194" s="6" t="s">
        <v>441</v>
      </c>
      <c r="C194" s="7">
        <v>102.1748</v>
      </c>
    </row>
    <row r="195" spans="1:3" x14ac:dyDescent="0.35">
      <c r="A195" t="s">
        <v>442</v>
      </c>
      <c r="B195" s="6" t="s">
        <v>443</v>
      </c>
      <c r="C195" s="7">
        <v>88.148179999999996</v>
      </c>
    </row>
    <row r="196" spans="1:3" x14ac:dyDescent="0.35">
      <c r="A196" t="s">
        <v>444</v>
      </c>
      <c r="B196" s="6" t="s">
        <v>445</v>
      </c>
      <c r="C196" s="7">
        <v>76.011600000000001</v>
      </c>
    </row>
    <row r="197" spans="1:3" x14ac:dyDescent="0.35">
      <c r="A197" t="s">
        <v>446</v>
      </c>
      <c r="B197" s="6" t="s">
        <v>447</v>
      </c>
      <c r="C197" s="7">
        <v>92.010999999999996</v>
      </c>
    </row>
    <row r="198" spans="1:3" x14ac:dyDescent="0.35">
      <c r="A198" t="s">
        <v>448</v>
      </c>
      <c r="B198" s="6" t="s">
        <v>449</v>
      </c>
      <c r="C198" s="7">
        <v>4.0026020000000004</v>
      </c>
    </row>
    <row r="199" spans="1:3" x14ac:dyDescent="0.35">
      <c r="A199" t="s">
        <v>450</v>
      </c>
      <c r="B199" s="6" t="s">
        <v>451</v>
      </c>
      <c r="C199" s="7">
        <v>37.9968</v>
      </c>
    </row>
    <row r="200" spans="1:3" x14ac:dyDescent="0.35">
      <c r="A200" t="s">
        <v>452</v>
      </c>
      <c r="B200" s="6" t="s">
        <v>453</v>
      </c>
      <c r="C200" s="7">
        <v>83.798000000000002</v>
      </c>
    </row>
    <row r="201" spans="1:3" x14ac:dyDescent="0.35">
      <c r="A201" t="s">
        <v>454</v>
      </c>
      <c r="B201" s="6" t="s">
        <v>455</v>
      </c>
      <c r="C201" s="7">
        <v>131.29300000000001</v>
      </c>
    </row>
    <row r="202" spans="1:3" x14ac:dyDescent="0.35">
      <c r="A202" t="s">
        <v>456</v>
      </c>
      <c r="B202" s="6" t="s">
        <v>457</v>
      </c>
      <c r="C202" s="7">
        <v>47.998199999999997</v>
      </c>
    </row>
    <row r="203" spans="1:3" x14ac:dyDescent="0.35">
      <c r="A203" t="s">
        <v>458</v>
      </c>
      <c r="B203" s="6" t="s">
        <v>459</v>
      </c>
      <c r="C203" s="7">
        <v>60.075099999999999</v>
      </c>
    </row>
    <row r="204" spans="1:3" x14ac:dyDescent="0.35">
      <c r="A204" t="s">
        <v>460</v>
      </c>
      <c r="B204" s="6" t="s">
        <v>461</v>
      </c>
      <c r="C204" s="7">
        <v>146.05539999999999</v>
      </c>
    </row>
    <row r="205" spans="1:3" x14ac:dyDescent="0.35">
      <c r="A205" t="s">
        <v>462</v>
      </c>
      <c r="B205" s="6" t="s">
        <v>463</v>
      </c>
      <c r="C205" s="7">
        <v>78.133439999999993</v>
      </c>
    </row>
    <row r="206" spans="1:3" x14ac:dyDescent="0.35">
      <c r="A206" t="s">
        <v>464</v>
      </c>
      <c r="B206" s="6" t="s">
        <v>465</v>
      </c>
      <c r="C206" s="7">
        <v>240.46770000000001</v>
      </c>
    </row>
    <row r="207" spans="1:3" x14ac:dyDescent="0.35">
      <c r="A207" t="s">
        <v>466</v>
      </c>
      <c r="B207" s="6" t="s">
        <v>467</v>
      </c>
      <c r="C207" s="7">
        <v>254.49430000000001</v>
      </c>
    </row>
    <row r="208" spans="1:3" x14ac:dyDescent="0.35">
      <c r="A208" t="s">
        <v>468</v>
      </c>
      <c r="B208" s="6" t="s">
        <v>469</v>
      </c>
      <c r="C208" s="7">
        <v>268.52089999999998</v>
      </c>
    </row>
    <row r="209" spans="1:3" x14ac:dyDescent="0.35">
      <c r="A209" t="s">
        <v>470</v>
      </c>
      <c r="B209" s="6" t="s">
        <v>471</v>
      </c>
      <c r="C209" s="7">
        <v>296.57409999999999</v>
      </c>
    </row>
    <row r="210" spans="1:3" x14ac:dyDescent="0.35">
      <c r="A210" t="s">
        <v>472</v>
      </c>
      <c r="B210" s="6" t="s">
        <v>473</v>
      </c>
      <c r="C210" s="7">
        <v>310.60059999999999</v>
      </c>
    </row>
    <row r="211" spans="1:3" x14ac:dyDescent="0.35">
      <c r="A211" t="s">
        <v>474</v>
      </c>
      <c r="B211" s="6" t="s">
        <v>475</v>
      </c>
      <c r="C211" s="7">
        <v>324.62720000000002</v>
      </c>
    </row>
    <row r="212" spans="1:3" x14ac:dyDescent="0.35">
      <c r="A212" t="s">
        <v>476</v>
      </c>
      <c r="B212" s="6" t="s">
        <v>477</v>
      </c>
      <c r="C212" s="7">
        <v>338.65379999999999</v>
      </c>
    </row>
    <row r="213" spans="1:3" x14ac:dyDescent="0.35">
      <c r="A213" t="s">
        <v>478</v>
      </c>
      <c r="B213" s="6" t="s">
        <v>479</v>
      </c>
      <c r="C213" s="7">
        <v>352.68040000000002</v>
      </c>
    </row>
    <row r="214" spans="1:3" x14ac:dyDescent="0.35">
      <c r="A214" t="s">
        <v>480</v>
      </c>
      <c r="B214" s="6" t="s">
        <v>481</v>
      </c>
      <c r="C214" s="7">
        <v>366.70699999999999</v>
      </c>
    </row>
    <row r="215" spans="1:3" x14ac:dyDescent="0.35">
      <c r="A215" t="s">
        <v>482</v>
      </c>
      <c r="B215" s="6" t="s">
        <v>483</v>
      </c>
      <c r="C215" s="7">
        <v>380.73360000000002</v>
      </c>
    </row>
    <row r="216" spans="1:3" x14ac:dyDescent="0.35">
      <c r="A216" t="s">
        <v>484</v>
      </c>
      <c r="B216" s="6" t="s">
        <v>485</v>
      </c>
      <c r="C216" s="7">
        <v>394.76010000000002</v>
      </c>
    </row>
    <row r="217" spans="1:3" x14ac:dyDescent="0.35">
      <c r="A217" t="s">
        <v>486</v>
      </c>
      <c r="B217" s="6" t="s">
        <v>487</v>
      </c>
      <c r="C217" s="7">
        <v>408.7867</v>
      </c>
    </row>
    <row r="218" spans="1:3" x14ac:dyDescent="0.35">
      <c r="A218" t="s">
        <v>488</v>
      </c>
      <c r="B218" s="6" t="s">
        <v>489</v>
      </c>
      <c r="C218" s="7">
        <v>422.81330000000003</v>
      </c>
    </row>
    <row r="219" spans="1:3" x14ac:dyDescent="0.35">
      <c r="A219" t="s">
        <v>490</v>
      </c>
      <c r="B219" s="6" t="s">
        <v>491</v>
      </c>
      <c r="C219" s="7">
        <v>100.202</v>
      </c>
    </row>
    <row r="220" spans="1:3" x14ac:dyDescent="0.35">
      <c r="A220" t="s">
        <v>492</v>
      </c>
      <c r="B220" s="6" t="s">
        <v>493</v>
      </c>
      <c r="C220" s="7">
        <v>100.202</v>
      </c>
    </row>
    <row r="221" spans="1:3" x14ac:dyDescent="0.35">
      <c r="A221" t="s">
        <v>494</v>
      </c>
      <c r="B221" s="6" t="s">
        <v>495</v>
      </c>
      <c r="C221" s="7">
        <v>100.202</v>
      </c>
    </row>
    <row r="222" spans="1:3" x14ac:dyDescent="0.35">
      <c r="A222" t="s">
        <v>496</v>
      </c>
      <c r="B222" s="6" t="s">
        <v>497</v>
      </c>
      <c r="C222" s="7">
        <v>100.202</v>
      </c>
    </row>
    <row r="223" spans="1:3" x14ac:dyDescent="0.35">
      <c r="A223" t="s">
        <v>498</v>
      </c>
      <c r="B223" s="6" t="s">
        <v>499</v>
      </c>
      <c r="C223" s="7">
        <v>100.202</v>
      </c>
    </row>
    <row r="224" spans="1:3" x14ac:dyDescent="0.35">
      <c r="A224" t="s">
        <v>500</v>
      </c>
      <c r="B224" s="6" t="s">
        <v>501</v>
      </c>
      <c r="C224" s="7">
        <v>100.202</v>
      </c>
    </row>
    <row r="225" spans="1:3" x14ac:dyDescent="0.35">
      <c r="A225" t="s">
        <v>502</v>
      </c>
      <c r="B225" s="6" t="s">
        <v>503</v>
      </c>
      <c r="C225" s="7">
        <v>100.202</v>
      </c>
    </row>
    <row r="226" spans="1:3" x14ac:dyDescent="0.35">
      <c r="A226" t="s">
        <v>504</v>
      </c>
      <c r="B226" s="6" t="s">
        <v>505</v>
      </c>
      <c r="C226" s="7">
        <v>100.202</v>
      </c>
    </row>
    <row r="227" spans="1:3" x14ac:dyDescent="0.35">
      <c r="A227" t="s">
        <v>506</v>
      </c>
      <c r="B227" s="6" t="s">
        <v>507</v>
      </c>
      <c r="C227" s="7">
        <v>114.2285</v>
      </c>
    </row>
    <row r="228" spans="1:3" x14ac:dyDescent="0.35">
      <c r="A228" t="s">
        <v>508</v>
      </c>
      <c r="B228" s="6" t="s">
        <v>509</v>
      </c>
      <c r="C228" s="7">
        <v>114.2285</v>
      </c>
    </row>
    <row r="229" spans="1:3" x14ac:dyDescent="0.35">
      <c r="A229" t="s">
        <v>510</v>
      </c>
      <c r="B229" s="6" t="s">
        <v>511</v>
      </c>
      <c r="C229" s="7">
        <v>114.2285</v>
      </c>
    </row>
    <row r="230" spans="1:3" x14ac:dyDescent="0.35">
      <c r="A230" t="s">
        <v>512</v>
      </c>
      <c r="B230" s="6" t="s">
        <v>513</v>
      </c>
      <c r="C230" s="7">
        <v>114.2285</v>
      </c>
    </row>
    <row r="231" spans="1:3" x14ac:dyDescent="0.35">
      <c r="A231" t="s">
        <v>514</v>
      </c>
      <c r="B231" s="6" t="s">
        <v>515</v>
      </c>
      <c r="C231" s="7">
        <v>114.2285</v>
      </c>
    </row>
    <row r="232" spans="1:3" x14ac:dyDescent="0.35">
      <c r="A232" t="s">
        <v>516</v>
      </c>
      <c r="B232" s="6" t="s">
        <v>517</v>
      </c>
      <c r="C232" s="7">
        <v>114.2285</v>
      </c>
    </row>
    <row r="233" spans="1:3" x14ac:dyDescent="0.35">
      <c r="A233" t="s">
        <v>518</v>
      </c>
      <c r="B233" s="6" t="s">
        <v>519</v>
      </c>
      <c r="C233" s="7">
        <v>114.2285</v>
      </c>
    </row>
    <row r="234" spans="1:3" x14ac:dyDescent="0.35">
      <c r="A234" t="s">
        <v>520</v>
      </c>
      <c r="B234" s="6" t="s">
        <v>521</v>
      </c>
      <c r="C234" s="7">
        <v>114.2285</v>
      </c>
    </row>
    <row r="235" spans="1:3" x14ac:dyDescent="0.35">
      <c r="A235" t="s">
        <v>522</v>
      </c>
      <c r="B235" s="6" t="s">
        <v>523</v>
      </c>
      <c r="C235" s="7">
        <v>114.2285</v>
      </c>
    </row>
    <row r="236" spans="1:3" x14ac:dyDescent="0.35">
      <c r="A236" t="s">
        <v>524</v>
      </c>
      <c r="B236" s="6" t="s">
        <v>525</v>
      </c>
      <c r="C236" s="7">
        <v>114.2285</v>
      </c>
    </row>
    <row r="237" spans="1:3" x14ac:dyDescent="0.35">
      <c r="A237" t="s">
        <v>526</v>
      </c>
      <c r="B237" s="6" t="s">
        <v>527</v>
      </c>
      <c r="C237" s="7">
        <v>114.2285</v>
      </c>
    </row>
    <row r="238" spans="1:3" x14ac:dyDescent="0.35">
      <c r="A238" t="s">
        <v>528</v>
      </c>
      <c r="B238" s="6" t="s">
        <v>529</v>
      </c>
      <c r="C238" s="7">
        <v>114.2285</v>
      </c>
    </row>
    <row r="239" spans="1:3" x14ac:dyDescent="0.35">
      <c r="A239" t="s">
        <v>530</v>
      </c>
      <c r="B239" s="6" t="s">
        <v>531</v>
      </c>
      <c r="C239" s="7">
        <v>114.2285</v>
      </c>
    </row>
    <row r="240" spans="1:3" x14ac:dyDescent="0.35">
      <c r="A240" t="s">
        <v>532</v>
      </c>
      <c r="B240" s="6" t="s">
        <v>533</v>
      </c>
      <c r="C240" s="7">
        <v>128.2551</v>
      </c>
    </row>
    <row r="241" spans="1:3" x14ac:dyDescent="0.35">
      <c r="A241" t="s">
        <v>534</v>
      </c>
      <c r="B241" s="6" t="s">
        <v>535</v>
      </c>
      <c r="C241" s="7">
        <v>128.2551</v>
      </c>
    </row>
    <row r="242" spans="1:3" x14ac:dyDescent="0.35">
      <c r="A242" t="s">
        <v>536</v>
      </c>
      <c r="B242" s="6" t="s">
        <v>537</v>
      </c>
      <c r="C242" s="7">
        <v>128.2551</v>
      </c>
    </row>
    <row r="243" spans="1:3" x14ac:dyDescent="0.35">
      <c r="A243" t="s">
        <v>538</v>
      </c>
      <c r="B243" s="6" t="s">
        <v>539</v>
      </c>
      <c r="C243" s="7">
        <v>128.2551</v>
      </c>
    </row>
    <row r="244" spans="1:3" x14ac:dyDescent="0.35">
      <c r="A244" t="s">
        <v>540</v>
      </c>
      <c r="B244" s="6" t="s">
        <v>541</v>
      </c>
      <c r="C244" s="7">
        <v>128.2551</v>
      </c>
    </row>
    <row r="245" spans="1:3" x14ac:dyDescent="0.35">
      <c r="A245" t="s">
        <v>542</v>
      </c>
      <c r="B245" s="6" t="s">
        <v>543</v>
      </c>
      <c r="C245" s="7">
        <v>128.2551</v>
      </c>
    </row>
    <row r="246" spans="1:3" x14ac:dyDescent="0.35">
      <c r="A246" t="s">
        <v>544</v>
      </c>
      <c r="B246" s="6" t="s">
        <v>545</v>
      </c>
      <c r="C246" s="7">
        <v>128.2551</v>
      </c>
    </row>
    <row r="247" spans="1:3" x14ac:dyDescent="0.35">
      <c r="A247" t="s">
        <v>546</v>
      </c>
      <c r="B247" s="6" t="s">
        <v>547</v>
      </c>
      <c r="C247" s="7">
        <v>128.2551</v>
      </c>
    </row>
    <row r="248" spans="1:3" x14ac:dyDescent="0.35">
      <c r="A248" t="s">
        <v>548</v>
      </c>
      <c r="B248" s="6" t="s">
        <v>549</v>
      </c>
      <c r="C248" s="7">
        <v>128.2551</v>
      </c>
    </row>
    <row r="249" spans="1:3" x14ac:dyDescent="0.35">
      <c r="A249" t="s">
        <v>550</v>
      </c>
      <c r="B249" s="6" t="s">
        <v>551</v>
      </c>
      <c r="C249" s="7">
        <v>128.2551</v>
      </c>
    </row>
    <row r="250" spans="1:3" x14ac:dyDescent="0.35">
      <c r="A250" t="s">
        <v>552</v>
      </c>
      <c r="B250" s="6" t="s">
        <v>553</v>
      </c>
      <c r="C250" s="7">
        <v>128.2551</v>
      </c>
    </row>
    <row r="251" spans="1:3" x14ac:dyDescent="0.35">
      <c r="A251" t="s">
        <v>554</v>
      </c>
      <c r="B251" s="6" t="s">
        <v>555</v>
      </c>
      <c r="C251" s="7">
        <v>128.2551</v>
      </c>
    </row>
    <row r="252" spans="1:3" x14ac:dyDescent="0.35">
      <c r="A252" t="s">
        <v>556</v>
      </c>
      <c r="B252" s="6" t="s">
        <v>557</v>
      </c>
      <c r="C252" s="7">
        <v>142.2817</v>
      </c>
    </row>
    <row r="253" spans="1:3" x14ac:dyDescent="0.35">
      <c r="A253" t="s">
        <v>558</v>
      </c>
      <c r="B253" s="6" t="s">
        <v>559</v>
      </c>
      <c r="C253" s="7">
        <v>142.2817</v>
      </c>
    </row>
    <row r="254" spans="1:3" x14ac:dyDescent="0.35">
      <c r="A254" t="s">
        <v>560</v>
      </c>
      <c r="B254" s="6" t="s">
        <v>917</v>
      </c>
      <c r="C254" s="7">
        <v>142.2817</v>
      </c>
    </row>
    <row r="255" spans="1:3" x14ac:dyDescent="0.35">
      <c r="A255" t="s">
        <v>561</v>
      </c>
      <c r="B255" s="6" t="s">
        <v>562</v>
      </c>
      <c r="C255" s="7">
        <v>142.2817</v>
      </c>
    </row>
    <row r="256" spans="1:3" x14ac:dyDescent="0.35">
      <c r="A256" t="s">
        <v>563</v>
      </c>
      <c r="B256" s="6" t="s">
        <v>564</v>
      </c>
      <c r="C256" s="7">
        <v>142.2817</v>
      </c>
    </row>
    <row r="257" spans="1:3" x14ac:dyDescent="0.35">
      <c r="A257" t="s">
        <v>565</v>
      </c>
      <c r="B257" s="6" t="s">
        <v>566</v>
      </c>
      <c r="C257" s="7">
        <v>142.2817</v>
      </c>
    </row>
    <row r="258" spans="1:3" x14ac:dyDescent="0.35">
      <c r="A258" t="s">
        <v>567</v>
      </c>
      <c r="B258" s="6" t="s">
        <v>568</v>
      </c>
      <c r="C258" s="7">
        <v>84.159480000000002</v>
      </c>
    </row>
    <row r="259" spans="1:3" x14ac:dyDescent="0.35">
      <c r="A259" t="s">
        <v>569</v>
      </c>
      <c r="B259" s="6" t="s">
        <v>570</v>
      </c>
      <c r="C259" s="7">
        <v>84.159480000000002</v>
      </c>
    </row>
    <row r="260" spans="1:3" x14ac:dyDescent="0.35">
      <c r="A260" t="s">
        <v>571</v>
      </c>
      <c r="B260" s="6" t="s">
        <v>572</v>
      </c>
      <c r="C260" s="7">
        <v>112.21259999999999</v>
      </c>
    </row>
    <row r="261" spans="1:3" x14ac:dyDescent="0.35">
      <c r="A261" t="s">
        <v>573</v>
      </c>
      <c r="B261" s="6" t="s">
        <v>574</v>
      </c>
      <c r="C261" s="7">
        <v>126.2392</v>
      </c>
    </row>
    <row r="262" spans="1:3" x14ac:dyDescent="0.35">
      <c r="A262" t="s">
        <v>575</v>
      </c>
      <c r="B262" s="6" t="s">
        <v>576</v>
      </c>
      <c r="C262" s="7">
        <v>154.29239999999999</v>
      </c>
    </row>
    <row r="263" spans="1:3" x14ac:dyDescent="0.35">
      <c r="A263" t="s">
        <v>577</v>
      </c>
      <c r="B263" s="6" t="s">
        <v>578</v>
      </c>
      <c r="C263" s="7">
        <v>84.159480000000002</v>
      </c>
    </row>
    <row r="264" spans="1:3" x14ac:dyDescent="0.35">
      <c r="A264" t="s">
        <v>579</v>
      </c>
      <c r="B264" s="6" t="s">
        <v>580</v>
      </c>
      <c r="C264" s="7">
        <v>84.159480000000002</v>
      </c>
    </row>
    <row r="265" spans="1:3" x14ac:dyDescent="0.35">
      <c r="A265" t="s">
        <v>581</v>
      </c>
      <c r="B265" s="6" t="s">
        <v>582</v>
      </c>
      <c r="C265" s="7">
        <v>84.159480000000002</v>
      </c>
    </row>
    <row r="266" spans="1:3" x14ac:dyDescent="0.35">
      <c r="A266" t="s">
        <v>583</v>
      </c>
      <c r="B266" s="6" t="s">
        <v>584</v>
      </c>
      <c r="C266" s="7">
        <v>82.143600000000006</v>
      </c>
    </row>
    <row r="267" spans="1:3" x14ac:dyDescent="0.35">
      <c r="A267" t="s">
        <v>585</v>
      </c>
      <c r="B267" s="6" t="s">
        <v>586</v>
      </c>
      <c r="C267" s="7">
        <v>98.186070000000001</v>
      </c>
    </row>
    <row r="268" spans="1:3" x14ac:dyDescent="0.35">
      <c r="A268" t="s">
        <v>587</v>
      </c>
      <c r="B268" s="6" t="s">
        <v>588</v>
      </c>
      <c r="C268" s="7">
        <v>98.186070000000001</v>
      </c>
    </row>
    <row r="269" spans="1:3" x14ac:dyDescent="0.35">
      <c r="A269" t="s">
        <v>589</v>
      </c>
      <c r="B269" s="6" t="s">
        <v>590</v>
      </c>
      <c r="C269" s="7">
        <v>98.186070000000001</v>
      </c>
    </row>
    <row r="270" spans="1:3" x14ac:dyDescent="0.35">
      <c r="A270" t="s">
        <v>591</v>
      </c>
      <c r="B270" s="6" t="s">
        <v>592</v>
      </c>
      <c r="C270" s="7">
        <v>98.186070000000001</v>
      </c>
    </row>
    <row r="271" spans="1:3" x14ac:dyDescent="0.35">
      <c r="A271" t="s">
        <v>593</v>
      </c>
      <c r="B271" s="6" t="s">
        <v>594</v>
      </c>
      <c r="C271" s="7">
        <v>98.186070000000001</v>
      </c>
    </row>
    <row r="272" spans="1:3" x14ac:dyDescent="0.35">
      <c r="A272" t="s">
        <v>595</v>
      </c>
      <c r="B272" s="6" t="s">
        <v>596</v>
      </c>
      <c r="C272" s="7">
        <v>112.21259999999999</v>
      </c>
    </row>
    <row r="273" spans="1:3" x14ac:dyDescent="0.35">
      <c r="A273" t="s">
        <v>597</v>
      </c>
      <c r="B273" s="6" t="s">
        <v>598</v>
      </c>
      <c r="C273" s="7">
        <v>112.21259999999999</v>
      </c>
    </row>
    <row r="274" spans="1:3" x14ac:dyDescent="0.35">
      <c r="A274" t="s">
        <v>599</v>
      </c>
      <c r="B274" s="6" t="s">
        <v>600</v>
      </c>
      <c r="C274" s="7">
        <v>126.2392</v>
      </c>
    </row>
    <row r="275" spans="1:3" x14ac:dyDescent="0.35">
      <c r="A275" t="s">
        <v>601</v>
      </c>
      <c r="B275" s="6" t="s">
        <v>602</v>
      </c>
      <c r="C275" s="7">
        <v>112.21259999999999</v>
      </c>
    </row>
    <row r="276" spans="1:3" x14ac:dyDescent="0.35">
      <c r="A276" t="s">
        <v>603</v>
      </c>
      <c r="B276" s="6" t="s">
        <v>918</v>
      </c>
      <c r="C276" s="7">
        <v>112.21259999999999</v>
      </c>
    </row>
    <row r="277" spans="1:3" x14ac:dyDescent="0.35">
      <c r="A277" t="s">
        <v>604</v>
      </c>
      <c r="B277" s="6" t="s">
        <v>605</v>
      </c>
      <c r="C277" s="7">
        <v>112.21259999999999</v>
      </c>
    </row>
    <row r="278" spans="1:3" x14ac:dyDescent="0.35">
      <c r="A278" t="s">
        <v>606</v>
      </c>
      <c r="B278" s="6" t="s">
        <v>607</v>
      </c>
      <c r="C278" s="7">
        <v>112.21259999999999</v>
      </c>
    </row>
    <row r="279" spans="1:3" x14ac:dyDescent="0.35">
      <c r="A279" t="s">
        <v>608</v>
      </c>
      <c r="B279" s="6" t="s">
        <v>919</v>
      </c>
      <c r="C279" s="7">
        <v>112.21259999999999</v>
      </c>
    </row>
    <row r="280" spans="1:3" x14ac:dyDescent="0.35">
      <c r="A280" t="s">
        <v>609</v>
      </c>
      <c r="B280" s="6" t="s">
        <v>610</v>
      </c>
      <c r="C280" s="7">
        <v>112.21259999999999</v>
      </c>
    </row>
    <row r="281" spans="1:3" x14ac:dyDescent="0.35">
      <c r="A281" t="s">
        <v>611</v>
      </c>
      <c r="B281" s="6" t="s">
        <v>920</v>
      </c>
      <c r="C281" s="7">
        <v>112.21259999999999</v>
      </c>
    </row>
    <row r="282" spans="1:3" x14ac:dyDescent="0.35">
      <c r="A282" t="s">
        <v>612</v>
      </c>
      <c r="B282" s="6" t="s">
        <v>613</v>
      </c>
      <c r="C282" s="7">
        <v>140.26580000000001</v>
      </c>
    </row>
    <row r="283" spans="1:3" x14ac:dyDescent="0.35">
      <c r="A283" t="s">
        <v>614</v>
      </c>
      <c r="B283" s="6" t="s">
        <v>615</v>
      </c>
      <c r="C283" s="7">
        <v>120.19159999999999</v>
      </c>
    </row>
    <row r="284" spans="1:3" x14ac:dyDescent="0.35">
      <c r="A284" t="s">
        <v>616</v>
      </c>
      <c r="B284" s="6" t="s">
        <v>617</v>
      </c>
      <c r="C284" s="7">
        <v>120.19159999999999</v>
      </c>
    </row>
    <row r="285" spans="1:3" x14ac:dyDescent="0.35">
      <c r="A285" t="s">
        <v>618</v>
      </c>
      <c r="B285" s="6" t="s">
        <v>619</v>
      </c>
      <c r="C285" s="7">
        <v>120.19159999999999</v>
      </c>
    </row>
    <row r="286" spans="1:3" x14ac:dyDescent="0.35">
      <c r="A286" t="s">
        <v>620</v>
      </c>
      <c r="B286" s="6" t="s">
        <v>621</v>
      </c>
      <c r="C286" s="7">
        <v>120.19159999999999</v>
      </c>
    </row>
    <row r="287" spans="1:3" x14ac:dyDescent="0.35">
      <c r="A287" t="s">
        <v>622</v>
      </c>
      <c r="B287" s="6" t="s">
        <v>623</v>
      </c>
      <c r="C287" s="7">
        <v>120.19159999999999</v>
      </c>
    </row>
    <row r="288" spans="1:3" x14ac:dyDescent="0.35">
      <c r="A288" t="s">
        <v>624</v>
      </c>
      <c r="B288" s="6" t="s">
        <v>625</v>
      </c>
      <c r="C288" s="7">
        <v>120.19159999999999</v>
      </c>
    </row>
    <row r="289" spans="1:3" x14ac:dyDescent="0.35">
      <c r="A289" t="s">
        <v>626</v>
      </c>
      <c r="B289" s="6" t="s">
        <v>627</v>
      </c>
      <c r="C289" s="7">
        <v>134.2182</v>
      </c>
    </row>
    <row r="290" spans="1:3" x14ac:dyDescent="0.35">
      <c r="A290" t="s">
        <v>628</v>
      </c>
      <c r="B290" s="6" t="s">
        <v>629</v>
      </c>
      <c r="C290" s="7">
        <v>134.2182</v>
      </c>
    </row>
    <row r="291" spans="1:3" x14ac:dyDescent="0.35">
      <c r="A291" t="s">
        <v>630</v>
      </c>
      <c r="B291" s="6" t="s">
        <v>631</v>
      </c>
      <c r="C291" s="7">
        <v>134.2182</v>
      </c>
    </row>
    <row r="292" spans="1:3" x14ac:dyDescent="0.35">
      <c r="A292" t="s">
        <v>632</v>
      </c>
      <c r="B292" s="6" t="s">
        <v>633</v>
      </c>
      <c r="C292" s="7">
        <v>134.2182</v>
      </c>
    </row>
    <row r="293" spans="1:3" x14ac:dyDescent="0.35">
      <c r="A293" t="s">
        <v>634</v>
      </c>
      <c r="B293" s="6" t="s">
        <v>635</v>
      </c>
      <c r="C293" s="7">
        <v>134.2182</v>
      </c>
    </row>
    <row r="294" spans="1:3" x14ac:dyDescent="0.35">
      <c r="A294" t="s">
        <v>636</v>
      </c>
      <c r="B294" s="6" t="s">
        <v>637</v>
      </c>
      <c r="C294" s="7">
        <v>134.2182</v>
      </c>
    </row>
    <row r="295" spans="1:3" x14ac:dyDescent="0.35">
      <c r="A295" t="s">
        <v>638</v>
      </c>
      <c r="B295" s="6" t="s">
        <v>639</v>
      </c>
      <c r="C295" s="7">
        <v>134.2182</v>
      </c>
    </row>
    <row r="296" spans="1:3" x14ac:dyDescent="0.35">
      <c r="A296" t="s">
        <v>640</v>
      </c>
      <c r="B296" s="6" t="s">
        <v>641</v>
      </c>
      <c r="C296" s="7">
        <v>134.2182</v>
      </c>
    </row>
    <row r="297" spans="1:3" x14ac:dyDescent="0.35">
      <c r="A297" t="s">
        <v>642</v>
      </c>
      <c r="B297" s="6" t="s">
        <v>643</v>
      </c>
      <c r="C297" s="7">
        <v>134.2182</v>
      </c>
    </row>
    <row r="298" spans="1:3" x14ac:dyDescent="0.35">
      <c r="A298" t="s">
        <v>644</v>
      </c>
      <c r="B298" s="6" t="s">
        <v>645</v>
      </c>
      <c r="C298" s="7">
        <v>134.2182</v>
      </c>
    </row>
    <row r="299" spans="1:3" x14ac:dyDescent="0.35">
      <c r="A299" t="s">
        <v>646</v>
      </c>
      <c r="B299" s="6" t="s">
        <v>647</v>
      </c>
      <c r="C299" s="7">
        <v>134.2182</v>
      </c>
    </row>
    <row r="300" spans="1:3" x14ac:dyDescent="0.35">
      <c r="A300" t="s">
        <v>648</v>
      </c>
      <c r="B300" s="6" t="s">
        <v>649</v>
      </c>
      <c r="C300" s="7">
        <v>134.2182</v>
      </c>
    </row>
    <row r="301" spans="1:3" x14ac:dyDescent="0.35">
      <c r="A301" t="s">
        <v>650</v>
      </c>
      <c r="B301" s="6" t="s">
        <v>921</v>
      </c>
      <c r="C301" s="7">
        <v>134.2182</v>
      </c>
    </row>
    <row r="302" spans="1:3" x14ac:dyDescent="0.35">
      <c r="A302" t="s">
        <v>651</v>
      </c>
      <c r="B302" s="6" t="s">
        <v>652</v>
      </c>
      <c r="C302" s="7">
        <v>134.2182</v>
      </c>
    </row>
    <row r="303" spans="1:3" x14ac:dyDescent="0.35">
      <c r="A303" t="s">
        <v>653</v>
      </c>
      <c r="B303" s="6" t="s">
        <v>654</v>
      </c>
      <c r="C303" s="7">
        <v>134.2182</v>
      </c>
    </row>
    <row r="304" spans="1:3" x14ac:dyDescent="0.35">
      <c r="A304" t="s">
        <v>655</v>
      </c>
      <c r="B304" s="6" t="s">
        <v>656</v>
      </c>
      <c r="C304" s="7">
        <v>134.2182</v>
      </c>
    </row>
    <row r="305" spans="1:3" x14ac:dyDescent="0.35">
      <c r="A305" t="s">
        <v>657</v>
      </c>
      <c r="B305" s="6" t="s">
        <v>658</v>
      </c>
      <c r="C305" s="7">
        <v>134.2182</v>
      </c>
    </row>
    <row r="306" spans="1:3" x14ac:dyDescent="0.35">
      <c r="A306" t="s">
        <v>659</v>
      </c>
      <c r="B306" s="6" t="s">
        <v>660</v>
      </c>
      <c r="C306" s="7">
        <v>134.2182</v>
      </c>
    </row>
    <row r="307" spans="1:3" x14ac:dyDescent="0.35">
      <c r="A307" t="s">
        <v>661</v>
      </c>
      <c r="B307" s="6" t="s">
        <v>662</v>
      </c>
      <c r="C307" s="7">
        <v>162.2713</v>
      </c>
    </row>
    <row r="308" spans="1:3" x14ac:dyDescent="0.35">
      <c r="A308" t="s">
        <v>663</v>
      </c>
      <c r="B308" s="6" t="s">
        <v>664</v>
      </c>
      <c r="C308" s="7">
        <v>100.1589</v>
      </c>
    </row>
    <row r="309" spans="1:3" x14ac:dyDescent="0.35">
      <c r="A309" t="s">
        <v>665</v>
      </c>
      <c r="B309" s="6" t="s">
        <v>666</v>
      </c>
      <c r="C309" s="7">
        <v>114.1855</v>
      </c>
    </row>
    <row r="310" spans="1:3" x14ac:dyDescent="0.35">
      <c r="A310" t="s">
        <v>667</v>
      </c>
      <c r="B310" s="6" t="s">
        <v>668</v>
      </c>
      <c r="C310" s="7">
        <v>114.1855</v>
      </c>
    </row>
    <row r="311" spans="1:3" x14ac:dyDescent="0.35">
      <c r="A311" t="s">
        <v>669</v>
      </c>
      <c r="B311" s="6" t="s">
        <v>670</v>
      </c>
      <c r="C311" s="7">
        <v>100.1589</v>
      </c>
    </row>
    <row r="312" spans="1:3" x14ac:dyDescent="0.35">
      <c r="A312" t="s">
        <v>671</v>
      </c>
      <c r="B312" s="6" t="s">
        <v>672</v>
      </c>
      <c r="C312" s="7">
        <v>86.132300000000001</v>
      </c>
    </row>
    <row r="313" spans="1:3" x14ac:dyDescent="0.35">
      <c r="A313" t="s">
        <v>673</v>
      </c>
      <c r="B313" s="6" t="s">
        <v>674</v>
      </c>
      <c r="C313" s="7">
        <v>100.1589</v>
      </c>
    </row>
    <row r="314" spans="1:3" x14ac:dyDescent="0.35">
      <c r="A314" t="s">
        <v>675</v>
      </c>
      <c r="B314" s="6" t="s">
        <v>676</v>
      </c>
      <c r="C314" s="7">
        <v>114.1855</v>
      </c>
    </row>
    <row r="315" spans="1:3" x14ac:dyDescent="0.35">
      <c r="A315" t="s">
        <v>677</v>
      </c>
      <c r="B315" s="6" t="s">
        <v>678</v>
      </c>
      <c r="C315" s="7">
        <v>114.1855</v>
      </c>
    </row>
    <row r="316" spans="1:3" x14ac:dyDescent="0.35">
      <c r="A316" t="s">
        <v>679</v>
      </c>
      <c r="B316" s="6" t="s">
        <v>680</v>
      </c>
      <c r="C316" s="7">
        <v>100.1589</v>
      </c>
    </row>
    <row r="317" spans="1:3" x14ac:dyDescent="0.35">
      <c r="A317" t="s">
        <v>681</v>
      </c>
      <c r="B317" s="6" t="s">
        <v>682</v>
      </c>
      <c r="C317" s="7">
        <v>142.23859999999999</v>
      </c>
    </row>
    <row r="318" spans="1:3" x14ac:dyDescent="0.35">
      <c r="A318" t="s">
        <v>683</v>
      </c>
      <c r="B318" s="6" t="s">
        <v>684</v>
      </c>
      <c r="C318" s="7">
        <v>114.1855</v>
      </c>
    </row>
    <row r="319" spans="1:3" x14ac:dyDescent="0.35">
      <c r="A319" t="s">
        <v>685</v>
      </c>
      <c r="B319" s="6" t="s">
        <v>686</v>
      </c>
      <c r="C319" s="7">
        <v>58.079140000000002</v>
      </c>
    </row>
    <row r="320" spans="1:3" x14ac:dyDescent="0.35">
      <c r="A320" t="s">
        <v>687</v>
      </c>
      <c r="B320" s="6" t="s">
        <v>688</v>
      </c>
      <c r="C320" s="7">
        <v>72.105720000000005</v>
      </c>
    </row>
    <row r="321" spans="1:3" x14ac:dyDescent="0.35">
      <c r="A321" t="s">
        <v>689</v>
      </c>
      <c r="B321" s="6" t="s">
        <v>690</v>
      </c>
      <c r="C321" s="7">
        <v>86.132300000000001</v>
      </c>
    </row>
    <row r="322" spans="1:3" x14ac:dyDescent="0.35">
      <c r="A322" t="s">
        <v>691</v>
      </c>
      <c r="B322" s="6" t="s">
        <v>692</v>
      </c>
      <c r="C322" s="7">
        <v>100.1589</v>
      </c>
    </row>
    <row r="323" spans="1:3" x14ac:dyDescent="0.35">
      <c r="A323" t="s">
        <v>693</v>
      </c>
      <c r="B323" s="6" t="s">
        <v>694</v>
      </c>
      <c r="C323" s="7">
        <v>114.1855</v>
      </c>
    </row>
    <row r="324" spans="1:3" x14ac:dyDescent="0.35">
      <c r="A324" t="s">
        <v>695</v>
      </c>
      <c r="B324" s="6" t="s">
        <v>696</v>
      </c>
      <c r="C324" s="7">
        <v>102.1748</v>
      </c>
    </row>
    <row r="325" spans="1:3" x14ac:dyDescent="0.35">
      <c r="A325" t="s">
        <v>697</v>
      </c>
      <c r="B325" s="6" t="s">
        <v>698</v>
      </c>
      <c r="C325" s="7">
        <v>130.22790000000001</v>
      </c>
    </row>
    <row r="326" spans="1:3" x14ac:dyDescent="0.35">
      <c r="A326" t="s">
        <v>699</v>
      </c>
      <c r="B326" s="6" t="s">
        <v>700</v>
      </c>
      <c r="C326" s="7">
        <v>130.22790000000001</v>
      </c>
    </row>
    <row r="327" spans="1:3" x14ac:dyDescent="0.35">
      <c r="A327" t="s">
        <v>701</v>
      </c>
      <c r="B327" s="6" t="s">
        <v>702</v>
      </c>
      <c r="C327" s="7">
        <v>60.095019999999998</v>
      </c>
    </row>
    <row r="328" spans="1:3" x14ac:dyDescent="0.35">
      <c r="A328" t="s">
        <v>703</v>
      </c>
      <c r="B328" s="6" t="s">
        <v>704</v>
      </c>
      <c r="C328" s="7">
        <v>74.121600000000001</v>
      </c>
    </row>
    <row r="329" spans="1:3" x14ac:dyDescent="0.35">
      <c r="A329" t="s">
        <v>705</v>
      </c>
      <c r="B329" s="6" t="s">
        <v>706</v>
      </c>
      <c r="C329" s="7">
        <v>116.2013</v>
      </c>
    </row>
    <row r="330" spans="1:3" x14ac:dyDescent="0.35">
      <c r="A330" t="s">
        <v>707</v>
      </c>
      <c r="B330" s="6" t="s">
        <v>708</v>
      </c>
      <c r="C330" s="7">
        <v>88.148179999999996</v>
      </c>
    </row>
    <row r="331" spans="1:3" x14ac:dyDescent="0.35">
      <c r="A331" t="s">
        <v>709</v>
      </c>
      <c r="B331" s="6" t="s">
        <v>710</v>
      </c>
      <c r="C331" s="7">
        <v>74.121600000000001</v>
      </c>
    </row>
    <row r="332" spans="1:3" x14ac:dyDescent="0.35">
      <c r="A332" t="s">
        <v>711</v>
      </c>
      <c r="B332" s="6" t="s">
        <v>712</v>
      </c>
      <c r="C332" s="7">
        <v>102.1748</v>
      </c>
    </row>
    <row r="333" spans="1:3" x14ac:dyDescent="0.35">
      <c r="A333" t="s">
        <v>713</v>
      </c>
      <c r="B333" s="6" t="s">
        <v>714</v>
      </c>
      <c r="C333" s="7">
        <v>116.2013</v>
      </c>
    </row>
    <row r="334" spans="1:3" x14ac:dyDescent="0.35">
      <c r="A334" t="s">
        <v>715</v>
      </c>
      <c r="B334" s="6" t="s">
        <v>716</v>
      </c>
      <c r="C334" s="7">
        <v>100.1589</v>
      </c>
    </row>
    <row r="335" spans="1:3" x14ac:dyDescent="0.35">
      <c r="A335" t="s">
        <v>717</v>
      </c>
      <c r="B335" s="6" t="s">
        <v>718</v>
      </c>
      <c r="C335" s="7">
        <v>108.1378</v>
      </c>
    </row>
    <row r="336" spans="1:3" x14ac:dyDescent="0.35">
      <c r="A336" t="s">
        <v>719</v>
      </c>
      <c r="B336" s="6" t="s">
        <v>720</v>
      </c>
      <c r="C336" s="7">
        <v>102.1317</v>
      </c>
    </row>
    <row r="337" spans="1:3" x14ac:dyDescent="0.35">
      <c r="A337" t="s">
        <v>721</v>
      </c>
      <c r="B337" s="6" t="s">
        <v>722</v>
      </c>
      <c r="C337" s="7">
        <v>116.1583</v>
      </c>
    </row>
    <row r="338" spans="1:3" x14ac:dyDescent="0.35">
      <c r="A338" t="s">
        <v>723</v>
      </c>
      <c r="B338" s="6" t="s">
        <v>724</v>
      </c>
      <c r="C338" s="7">
        <v>116.1583</v>
      </c>
    </row>
    <row r="339" spans="1:3" x14ac:dyDescent="0.35">
      <c r="A339" t="s">
        <v>725</v>
      </c>
      <c r="B339" s="6" t="s">
        <v>726</v>
      </c>
      <c r="C339" s="7">
        <v>130.1849</v>
      </c>
    </row>
    <row r="340" spans="1:3" x14ac:dyDescent="0.35">
      <c r="A340" t="s">
        <v>727</v>
      </c>
      <c r="B340" s="6" t="s">
        <v>728</v>
      </c>
      <c r="C340" s="7">
        <v>86.089240000000004</v>
      </c>
    </row>
    <row r="341" spans="1:3" x14ac:dyDescent="0.35">
      <c r="A341" t="s">
        <v>729</v>
      </c>
      <c r="B341" s="6" t="s">
        <v>730</v>
      </c>
      <c r="C341" s="7">
        <v>144.2114</v>
      </c>
    </row>
    <row r="342" spans="1:3" x14ac:dyDescent="0.35">
      <c r="A342" t="s">
        <v>731</v>
      </c>
      <c r="B342" s="6" t="s">
        <v>732</v>
      </c>
      <c r="C342" s="7">
        <v>88.148179999999996</v>
      </c>
    </row>
    <row r="343" spans="1:3" x14ac:dyDescent="0.35">
      <c r="A343" t="s">
        <v>733</v>
      </c>
      <c r="B343" s="6" t="s">
        <v>734</v>
      </c>
      <c r="C343" s="7">
        <v>88.148179999999996</v>
      </c>
    </row>
    <row r="344" spans="1:3" x14ac:dyDescent="0.35">
      <c r="A344" t="s">
        <v>735</v>
      </c>
      <c r="B344" s="6" t="s">
        <v>736</v>
      </c>
      <c r="C344" s="7">
        <v>88.148179999999996</v>
      </c>
    </row>
    <row r="345" spans="1:3" x14ac:dyDescent="0.35">
      <c r="A345" t="s">
        <v>737</v>
      </c>
      <c r="B345" s="6" t="s">
        <v>738</v>
      </c>
      <c r="C345" s="7">
        <v>88.148179999999996</v>
      </c>
    </row>
    <row r="346" spans="1:3" x14ac:dyDescent="0.35">
      <c r="A346" t="s">
        <v>739</v>
      </c>
      <c r="B346" s="6" t="s">
        <v>740</v>
      </c>
      <c r="C346" s="7">
        <v>102.1748</v>
      </c>
    </row>
    <row r="347" spans="1:3" x14ac:dyDescent="0.35">
      <c r="A347" t="s">
        <v>741</v>
      </c>
      <c r="B347" s="6" t="s">
        <v>742</v>
      </c>
      <c r="C347" s="7">
        <v>116.2013</v>
      </c>
    </row>
    <row r="348" spans="1:3" x14ac:dyDescent="0.35">
      <c r="A348" t="s">
        <v>743</v>
      </c>
      <c r="B348" s="6" t="s">
        <v>744</v>
      </c>
      <c r="C348" s="7">
        <v>90.120999999999995</v>
      </c>
    </row>
    <row r="349" spans="1:3" x14ac:dyDescent="0.35">
      <c r="A349" t="s">
        <v>745</v>
      </c>
      <c r="B349" s="6" t="s">
        <v>746</v>
      </c>
      <c r="C349" s="7">
        <v>48.107460000000003</v>
      </c>
    </row>
    <row r="350" spans="1:3" x14ac:dyDescent="0.35">
      <c r="A350" t="s">
        <v>747</v>
      </c>
      <c r="B350" s="6" t="s">
        <v>748</v>
      </c>
      <c r="C350" s="7">
        <v>76.160610000000005</v>
      </c>
    </row>
    <row r="351" spans="1:3" x14ac:dyDescent="0.35">
      <c r="A351" t="s">
        <v>749</v>
      </c>
      <c r="B351" s="6" t="s">
        <v>750</v>
      </c>
      <c r="C351" s="7">
        <v>90.187190000000001</v>
      </c>
    </row>
    <row r="352" spans="1:3" x14ac:dyDescent="0.35">
      <c r="A352" t="s">
        <v>751</v>
      </c>
      <c r="B352" s="6" t="s">
        <v>752</v>
      </c>
      <c r="C352" s="7">
        <v>90.187190000000001</v>
      </c>
    </row>
    <row r="353" spans="1:3" x14ac:dyDescent="0.35">
      <c r="A353" t="s">
        <v>753</v>
      </c>
      <c r="B353" s="6" t="s">
        <v>754</v>
      </c>
      <c r="C353" s="7">
        <v>90.187190000000001</v>
      </c>
    </row>
    <row r="354" spans="1:3" x14ac:dyDescent="0.35">
      <c r="A354" t="s">
        <v>755</v>
      </c>
      <c r="B354" s="6" t="s">
        <v>756</v>
      </c>
      <c r="C354" s="7">
        <v>118.24039999999999</v>
      </c>
    </row>
    <row r="355" spans="1:3" x14ac:dyDescent="0.35">
      <c r="A355" t="s">
        <v>757</v>
      </c>
      <c r="B355" s="6" t="s">
        <v>758</v>
      </c>
      <c r="C355" s="7">
        <v>76.160610000000005</v>
      </c>
    </row>
    <row r="356" spans="1:3" x14ac:dyDescent="0.35">
      <c r="A356" t="s">
        <v>759</v>
      </c>
      <c r="B356" s="6" t="s">
        <v>760</v>
      </c>
      <c r="C356" s="7">
        <v>90.187190000000001</v>
      </c>
    </row>
    <row r="357" spans="1:3" x14ac:dyDescent="0.35">
      <c r="A357" t="s">
        <v>761</v>
      </c>
      <c r="B357" s="6" t="s">
        <v>762</v>
      </c>
      <c r="C357" s="7">
        <v>104.21380000000001</v>
      </c>
    </row>
    <row r="358" spans="1:3" x14ac:dyDescent="0.35">
      <c r="A358" t="s">
        <v>763</v>
      </c>
      <c r="B358" s="6" t="s">
        <v>764</v>
      </c>
      <c r="C358" s="7">
        <v>118.24039999999999</v>
      </c>
    </row>
    <row r="359" spans="1:3" x14ac:dyDescent="0.35">
      <c r="A359" t="s">
        <v>765</v>
      </c>
      <c r="B359" s="6" t="s">
        <v>766</v>
      </c>
      <c r="C359" s="7">
        <v>118.24039999999999</v>
      </c>
    </row>
    <row r="360" spans="1:3" x14ac:dyDescent="0.35">
      <c r="A360" t="s">
        <v>767</v>
      </c>
      <c r="B360" s="6" t="s">
        <v>768</v>
      </c>
      <c r="C360" s="7">
        <v>90.187190000000001</v>
      </c>
    </row>
    <row r="361" spans="1:3" x14ac:dyDescent="0.35">
      <c r="A361" t="s">
        <v>769</v>
      </c>
      <c r="B361" s="6" t="s">
        <v>770</v>
      </c>
      <c r="C361" s="7">
        <v>122.2522</v>
      </c>
    </row>
    <row r="362" spans="1:3" x14ac:dyDescent="0.35">
      <c r="A362" t="s">
        <v>771</v>
      </c>
      <c r="B362" s="6" t="s">
        <v>772</v>
      </c>
      <c r="C362" s="7">
        <v>94.199039999999997</v>
      </c>
    </row>
    <row r="363" spans="1:3" x14ac:dyDescent="0.35">
      <c r="A363" t="s">
        <v>773</v>
      </c>
      <c r="B363" s="6" t="s">
        <v>774</v>
      </c>
      <c r="C363" s="7">
        <v>150.30539999999999</v>
      </c>
    </row>
    <row r="364" spans="1:3" x14ac:dyDescent="0.35">
      <c r="A364" t="s">
        <v>775</v>
      </c>
      <c r="B364" s="6" t="s">
        <v>776</v>
      </c>
      <c r="C364" s="7">
        <v>178.35849999999999</v>
      </c>
    </row>
    <row r="365" spans="1:3" x14ac:dyDescent="0.35">
      <c r="A365" t="s">
        <v>777</v>
      </c>
      <c r="B365" s="6" t="s">
        <v>778</v>
      </c>
      <c r="C365" s="7">
        <v>108.2256</v>
      </c>
    </row>
    <row r="366" spans="1:3" x14ac:dyDescent="0.35">
      <c r="A366" t="s">
        <v>779</v>
      </c>
      <c r="B366" s="6" t="s">
        <v>780</v>
      </c>
      <c r="C366" s="7">
        <v>136.27879999999999</v>
      </c>
    </row>
    <row r="367" spans="1:3" x14ac:dyDescent="0.35">
      <c r="A367" t="s">
        <v>781</v>
      </c>
      <c r="B367" s="6" t="s">
        <v>782</v>
      </c>
      <c r="C367" s="7">
        <v>218.33779999999999</v>
      </c>
    </row>
    <row r="368" spans="1:3" x14ac:dyDescent="0.35">
      <c r="A368" t="s">
        <v>783</v>
      </c>
      <c r="B368" s="6" t="s">
        <v>784</v>
      </c>
      <c r="C368" s="7">
        <v>61.083080000000002</v>
      </c>
    </row>
    <row r="369" spans="1:3" x14ac:dyDescent="0.35">
      <c r="A369" t="s">
        <v>785</v>
      </c>
      <c r="B369" s="6" t="s">
        <v>786</v>
      </c>
      <c r="C369" s="7">
        <v>105.1356</v>
      </c>
    </row>
    <row r="370" spans="1:3" x14ac:dyDescent="0.35">
      <c r="A370" t="s">
        <v>787</v>
      </c>
      <c r="B370" s="6" t="s">
        <v>788</v>
      </c>
      <c r="C370" s="7">
        <v>149.18819999999999</v>
      </c>
    </row>
    <row r="371" spans="1:3" x14ac:dyDescent="0.35">
      <c r="A371" t="s">
        <v>789</v>
      </c>
      <c r="B371" s="6" t="s">
        <v>790</v>
      </c>
      <c r="C371" s="7">
        <v>60.098320000000001</v>
      </c>
    </row>
    <row r="372" spans="1:3" x14ac:dyDescent="0.35">
      <c r="A372" t="s">
        <v>791</v>
      </c>
      <c r="B372" s="6" t="s">
        <v>792</v>
      </c>
      <c r="C372" s="7">
        <v>101.19</v>
      </c>
    </row>
    <row r="373" spans="1:3" x14ac:dyDescent="0.35">
      <c r="A373" t="s">
        <v>793</v>
      </c>
      <c r="B373" s="6" t="s">
        <v>794</v>
      </c>
      <c r="C373" s="7">
        <v>129.20339999999999</v>
      </c>
    </row>
    <row r="374" spans="1:3" x14ac:dyDescent="0.35">
      <c r="A374" t="s">
        <v>795</v>
      </c>
      <c r="B374" s="6" t="s">
        <v>796</v>
      </c>
      <c r="C374" s="7">
        <v>103.1661</v>
      </c>
    </row>
    <row r="375" spans="1:3" x14ac:dyDescent="0.35">
      <c r="A375" t="s">
        <v>797</v>
      </c>
      <c r="B375" s="6" t="s">
        <v>798</v>
      </c>
      <c r="C375" s="7">
        <v>104.15089999999999</v>
      </c>
    </row>
    <row r="376" spans="1:3" x14ac:dyDescent="0.35">
      <c r="A376" t="s">
        <v>799</v>
      </c>
      <c r="B376" s="6" t="s">
        <v>800</v>
      </c>
      <c r="C376" s="7">
        <v>108.14109999999999</v>
      </c>
    </row>
    <row r="377" spans="1:3" x14ac:dyDescent="0.35">
      <c r="A377" t="s">
        <v>801</v>
      </c>
      <c r="B377" s="6" t="s">
        <v>802</v>
      </c>
      <c r="C377" s="7">
        <v>86.135599999999997</v>
      </c>
    </row>
    <row r="378" spans="1:3" x14ac:dyDescent="0.35">
      <c r="A378" t="s">
        <v>803</v>
      </c>
      <c r="B378" s="6" t="s">
        <v>804</v>
      </c>
      <c r="C378" s="7">
        <v>75.109660000000005</v>
      </c>
    </row>
    <row r="379" spans="1:3" x14ac:dyDescent="0.35">
      <c r="A379" t="s">
        <v>805</v>
      </c>
      <c r="B379" s="6" t="s">
        <v>806</v>
      </c>
      <c r="C379" s="7">
        <v>89.136240000000001</v>
      </c>
    </row>
    <row r="380" spans="1:3" x14ac:dyDescent="0.35">
      <c r="A380" t="s">
        <v>807</v>
      </c>
      <c r="B380" s="6" t="s">
        <v>808</v>
      </c>
      <c r="C380" s="7">
        <v>61.040019999999998</v>
      </c>
    </row>
    <row r="381" spans="1:3" x14ac:dyDescent="0.35">
      <c r="A381" t="s">
        <v>809</v>
      </c>
      <c r="B381" s="6" t="s">
        <v>810</v>
      </c>
      <c r="C381" s="7">
        <v>75.066599999999994</v>
      </c>
    </row>
    <row r="382" spans="1:3" x14ac:dyDescent="0.35">
      <c r="A382" t="s">
        <v>811</v>
      </c>
      <c r="B382" s="6" t="s">
        <v>812</v>
      </c>
      <c r="C382" s="7">
        <v>89.093180000000004</v>
      </c>
    </row>
    <row r="383" spans="1:3" x14ac:dyDescent="0.35">
      <c r="A383" t="s">
        <v>813</v>
      </c>
      <c r="B383" s="6" t="s">
        <v>814</v>
      </c>
      <c r="C383" s="7">
        <v>89.093180000000004</v>
      </c>
    </row>
    <row r="384" spans="1:3" x14ac:dyDescent="0.35">
      <c r="A384" t="s">
        <v>815</v>
      </c>
      <c r="B384" s="6" t="s">
        <v>816</v>
      </c>
      <c r="C384" s="7">
        <v>103.1198</v>
      </c>
    </row>
    <row r="385" spans="1:3" x14ac:dyDescent="0.35">
      <c r="A385" t="s">
        <v>817</v>
      </c>
      <c r="B385" s="6" t="s">
        <v>818</v>
      </c>
      <c r="C385" s="7">
        <v>137.136</v>
      </c>
    </row>
    <row r="386" spans="1:3" x14ac:dyDescent="0.35">
      <c r="A386" t="s">
        <v>819</v>
      </c>
      <c r="B386" s="6" t="s">
        <v>820</v>
      </c>
      <c r="C386" s="7">
        <v>137.136</v>
      </c>
    </row>
    <row r="387" spans="1:3" x14ac:dyDescent="0.35">
      <c r="A387" t="s">
        <v>821</v>
      </c>
      <c r="B387" s="6" t="s">
        <v>822</v>
      </c>
      <c r="C387" s="7">
        <v>137.136</v>
      </c>
    </row>
    <row r="388" spans="1:3" x14ac:dyDescent="0.35">
      <c r="A388" t="s">
        <v>823</v>
      </c>
      <c r="B388" s="6" t="s">
        <v>824</v>
      </c>
      <c r="C388" s="7">
        <v>182.1335</v>
      </c>
    </row>
    <row r="389" spans="1:3" x14ac:dyDescent="0.35">
      <c r="A389" t="s">
        <v>825</v>
      </c>
      <c r="B389" s="6" t="s">
        <v>826</v>
      </c>
      <c r="C389" s="7">
        <v>182.1335</v>
      </c>
    </row>
    <row r="390" spans="1:3" x14ac:dyDescent="0.35">
      <c r="A390" t="s">
        <v>827</v>
      </c>
      <c r="B390" s="6" t="s">
        <v>828</v>
      </c>
      <c r="C390" s="7">
        <v>182.1335</v>
      </c>
    </row>
    <row r="391" spans="1:3" x14ac:dyDescent="0.35">
      <c r="A391" t="s">
        <v>829</v>
      </c>
      <c r="B391" s="6" t="s">
        <v>830</v>
      </c>
      <c r="C391" s="7">
        <v>182.1335</v>
      </c>
    </row>
    <row r="392" spans="1:3" x14ac:dyDescent="0.35">
      <c r="A392" t="s">
        <v>831</v>
      </c>
      <c r="B392" s="6" t="s">
        <v>832</v>
      </c>
      <c r="C392" s="7">
        <v>182.1335</v>
      </c>
    </row>
    <row r="393" spans="1:3" x14ac:dyDescent="0.35">
      <c r="A393" t="s">
        <v>833</v>
      </c>
      <c r="B393" s="6" t="s">
        <v>834</v>
      </c>
      <c r="C393" s="7">
        <v>227.1311</v>
      </c>
    </row>
    <row r="394" spans="1:3" x14ac:dyDescent="0.35">
      <c r="A394" t="s">
        <v>835</v>
      </c>
      <c r="B394" s="6" t="s">
        <v>836</v>
      </c>
      <c r="C394" s="7">
        <v>90.034880000000001</v>
      </c>
    </row>
    <row r="395" spans="1:3" x14ac:dyDescent="0.35">
      <c r="A395" t="s">
        <v>837</v>
      </c>
      <c r="B395" s="6" t="s">
        <v>838</v>
      </c>
      <c r="C395" s="7">
        <v>72.062659999999994</v>
      </c>
    </row>
    <row r="396" spans="1:3" x14ac:dyDescent="0.35">
      <c r="A396" t="s">
        <v>839</v>
      </c>
      <c r="B396" s="6" t="s">
        <v>840</v>
      </c>
      <c r="C396" s="7">
        <v>86.089240000000004</v>
      </c>
    </row>
    <row r="397" spans="1:3" x14ac:dyDescent="0.35">
      <c r="A397" t="s">
        <v>841</v>
      </c>
      <c r="B397" s="6" t="s">
        <v>842</v>
      </c>
      <c r="C397" s="7">
        <v>122.12130000000001</v>
      </c>
    </row>
    <row r="398" spans="1:3" x14ac:dyDescent="0.35">
      <c r="A398" t="s">
        <v>843</v>
      </c>
      <c r="B398" s="6" t="s">
        <v>844</v>
      </c>
      <c r="C398" s="7">
        <v>136.14789999999999</v>
      </c>
    </row>
    <row r="399" spans="1:3" x14ac:dyDescent="0.35">
      <c r="A399" t="s">
        <v>845</v>
      </c>
      <c r="B399" s="6" t="s">
        <v>846</v>
      </c>
      <c r="C399" s="7">
        <v>136.14789999999999</v>
      </c>
    </row>
    <row r="400" spans="1:3" x14ac:dyDescent="0.35">
      <c r="A400" t="s">
        <v>847</v>
      </c>
      <c r="B400" s="6" t="s">
        <v>848</v>
      </c>
      <c r="C400" s="7">
        <v>138.1207</v>
      </c>
    </row>
    <row r="401" spans="1:3" x14ac:dyDescent="0.35">
      <c r="A401" t="s">
        <v>849</v>
      </c>
      <c r="B401" s="6" t="s">
        <v>850</v>
      </c>
      <c r="C401" s="7">
        <v>146.1412</v>
      </c>
    </row>
    <row r="402" spans="1:3" x14ac:dyDescent="0.35">
      <c r="A402" t="s">
        <v>851</v>
      </c>
      <c r="B402" s="6" t="s">
        <v>852</v>
      </c>
      <c r="C402" s="7">
        <v>166.13079999999999</v>
      </c>
    </row>
    <row r="403" spans="1:3" x14ac:dyDescent="0.35">
      <c r="A403" t="s">
        <v>853</v>
      </c>
      <c r="B403" s="6" t="s">
        <v>854</v>
      </c>
      <c r="C403" s="7">
        <v>116.0722</v>
      </c>
    </row>
    <row r="404" spans="1:3" x14ac:dyDescent="0.35">
      <c r="A404" t="s">
        <v>855</v>
      </c>
      <c r="B404" s="6" t="s">
        <v>856</v>
      </c>
      <c r="C404" s="7">
        <v>166.13079999999999</v>
      </c>
    </row>
    <row r="405" spans="1:3" x14ac:dyDescent="0.35">
      <c r="A405" t="s">
        <v>857</v>
      </c>
      <c r="B405" s="6" t="s">
        <v>858</v>
      </c>
      <c r="C405" s="7">
        <v>102.0886</v>
      </c>
    </row>
    <row r="406" spans="1:3" x14ac:dyDescent="0.35">
      <c r="A406" t="s">
        <v>859</v>
      </c>
      <c r="B406" s="6" t="s">
        <v>860</v>
      </c>
      <c r="C406" s="7">
        <v>98.056880000000007</v>
      </c>
    </row>
    <row r="407" spans="1:3" x14ac:dyDescent="0.35">
      <c r="A407" t="s">
        <v>861</v>
      </c>
      <c r="B407" s="6" t="s">
        <v>862</v>
      </c>
      <c r="C407" s="7">
        <v>42.036679999999997</v>
      </c>
    </row>
    <row r="408" spans="1:3" x14ac:dyDescent="0.35">
      <c r="A408" t="s">
        <v>863</v>
      </c>
      <c r="B408" s="6" t="s">
        <v>864</v>
      </c>
      <c r="C408" s="7">
        <v>100.11579999999999</v>
      </c>
    </row>
    <row r="409" spans="1:3" x14ac:dyDescent="0.35">
      <c r="A409" t="s">
        <v>865</v>
      </c>
      <c r="B409" s="6" t="s">
        <v>866</v>
      </c>
      <c r="C409" s="7">
        <v>194.184</v>
      </c>
    </row>
    <row r="410" spans="1:3" x14ac:dyDescent="0.35">
      <c r="A410" t="s">
        <v>867</v>
      </c>
      <c r="B410" s="6" t="s">
        <v>868</v>
      </c>
      <c r="C410" s="7">
        <v>58.078040000000001</v>
      </c>
    </row>
    <row r="411" spans="1:3" x14ac:dyDescent="0.35">
      <c r="A411" t="s">
        <v>869</v>
      </c>
      <c r="B411" s="6" t="s">
        <v>870</v>
      </c>
      <c r="C411" s="7">
        <v>152.19040000000001</v>
      </c>
    </row>
    <row r="412" spans="1:3" x14ac:dyDescent="0.35">
      <c r="A412" t="s">
        <v>871</v>
      </c>
      <c r="B412" s="6" t="s">
        <v>872</v>
      </c>
      <c r="C412" s="7">
        <v>55.078499999999998</v>
      </c>
    </row>
    <row r="413" spans="1:3" x14ac:dyDescent="0.35">
      <c r="A413" t="s">
        <v>873</v>
      </c>
      <c r="B413" s="6" t="s">
        <v>874</v>
      </c>
      <c r="C413" s="7">
        <v>90.077939999999998</v>
      </c>
    </row>
    <row r="414" spans="1:3" x14ac:dyDescent="0.35">
      <c r="A414" t="s">
        <v>875</v>
      </c>
      <c r="B414" s="6" t="s">
        <v>876</v>
      </c>
      <c r="C414" s="7">
        <v>118.1311</v>
      </c>
    </row>
    <row r="415" spans="1:3" x14ac:dyDescent="0.35">
      <c r="A415" t="s">
        <v>877</v>
      </c>
      <c r="B415" s="6" t="s">
        <v>878</v>
      </c>
      <c r="C415" s="7">
        <v>104.1045</v>
      </c>
    </row>
    <row r="416" spans="1:3" x14ac:dyDescent="0.35">
      <c r="A416" t="s">
        <v>879</v>
      </c>
      <c r="B416" s="6" t="s">
        <v>880</v>
      </c>
      <c r="C416" s="7">
        <v>152.1473</v>
      </c>
    </row>
    <row r="417" spans="1:3" x14ac:dyDescent="0.35">
      <c r="A417" t="s">
        <v>881</v>
      </c>
      <c r="B417" s="6" t="s">
        <v>882</v>
      </c>
      <c r="C417" s="7">
        <v>166.1739</v>
      </c>
    </row>
    <row r="418" spans="1:3" x14ac:dyDescent="0.35">
      <c r="A418" t="s">
        <v>883</v>
      </c>
      <c r="B418" s="6" t="s">
        <v>884</v>
      </c>
      <c r="C418" s="7">
        <v>214.2167</v>
      </c>
    </row>
    <row r="419" spans="1:3" x14ac:dyDescent="0.35">
      <c r="A419" t="s">
        <v>885</v>
      </c>
      <c r="B419" s="6" t="s">
        <v>886</v>
      </c>
      <c r="C419" s="7">
        <v>88.062070000000006</v>
      </c>
    </row>
    <row r="420" spans="1:3" x14ac:dyDescent="0.35">
      <c r="A420" t="s">
        <v>887</v>
      </c>
      <c r="B420" s="6" t="s">
        <v>888</v>
      </c>
      <c r="C420" s="7">
        <v>102.0886</v>
      </c>
    </row>
    <row r="421" spans="1:3" x14ac:dyDescent="0.35">
      <c r="A421" t="s">
        <v>889</v>
      </c>
      <c r="B421" s="6" t="s">
        <v>890</v>
      </c>
      <c r="C421" s="7">
        <v>112.21259999999999</v>
      </c>
    </row>
    <row r="422" spans="1:3" x14ac:dyDescent="0.35">
      <c r="A422" t="s">
        <v>891</v>
      </c>
      <c r="B422" s="6" t="s">
        <v>892</v>
      </c>
      <c r="C422" s="7">
        <v>144.25450000000001</v>
      </c>
    </row>
    <row r="423" spans="1:3" x14ac:dyDescent="0.35">
      <c r="A423" t="s">
        <v>893</v>
      </c>
      <c r="B423" s="6" t="s">
        <v>894</v>
      </c>
      <c r="C423" s="7">
        <v>130.22790000000001</v>
      </c>
    </row>
    <row r="424" spans="1:3" x14ac:dyDescent="0.35">
      <c r="A424" t="s">
        <v>895</v>
      </c>
      <c r="B424" s="6" t="s">
        <v>896</v>
      </c>
      <c r="C424" s="7">
        <v>76.09442</v>
      </c>
    </row>
    <row r="425" spans="1:3" x14ac:dyDescent="0.35">
      <c r="A425" t="s">
        <v>897</v>
      </c>
      <c r="B425" s="6" t="s">
        <v>898</v>
      </c>
      <c r="C425" s="7">
        <v>119.1622</v>
      </c>
    </row>
    <row r="426" spans="1:3" x14ac:dyDescent="0.35">
      <c r="A426" t="s">
        <v>899</v>
      </c>
      <c r="B426" s="6" t="s">
        <v>900</v>
      </c>
      <c r="C426" s="7">
        <v>117.18940000000001</v>
      </c>
    </row>
    <row r="427" spans="1:3" x14ac:dyDescent="0.35">
      <c r="A427" t="s">
        <v>901</v>
      </c>
      <c r="B427" s="6" t="s">
        <v>902</v>
      </c>
      <c r="C427" s="7">
        <v>133.18879999999999</v>
      </c>
    </row>
    <row r="428" spans="1:3" x14ac:dyDescent="0.35">
      <c r="A428" t="s">
        <v>903</v>
      </c>
      <c r="B428" s="6" t="s">
        <v>904</v>
      </c>
      <c r="C428" s="7">
        <v>56.106319999999997</v>
      </c>
    </row>
    <row r="429" spans="1:3" x14ac:dyDescent="0.35">
      <c r="A429" t="s">
        <v>905</v>
      </c>
      <c r="B429" s="6" t="s">
        <v>906</v>
      </c>
      <c r="C429" s="7">
        <v>76.160610000000005</v>
      </c>
    </row>
    <row r="430" spans="1:3" x14ac:dyDescent="0.35">
      <c r="A430" t="s">
        <v>907</v>
      </c>
      <c r="B430" s="6" t="s">
        <v>908</v>
      </c>
      <c r="C430" s="7">
        <v>92.093819999999994</v>
      </c>
    </row>
    <row r="431" spans="1:3" x14ac:dyDescent="0.35">
      <c r="A431" t="s">
        <v>909</v>
      </c>
      <c r="B431" s="6" t="s">
        <v>910</v>
      </c>
      <c r="C431" s="7">
        <v>282.54750000000001</v>
      </c>
    </row>
    <row r="432" spans="1:3" x14ac:dyDescent="0.35">
      <c r="A432" t="s">
        <v>911</v>
      </c>
      <c r="B432" s="6" t="s">
        <v>912</v>
      </c>
      <c r="C432" s="7">
        <v>174.23740000000001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42F21-423F-4926-A97F-B260A6BAB144}">
  <sheetPr codeName="Sheet01"/>
  <dimension ref="A1:XFD1048575"/>
  <sheetViews>
    <sheetView tabSelected="1" workbookViewId="0">
      <selection activeCell="J33" sqref="J33"/>
    </sheetView>
  </sheetViews>
  <sheetFormatPr defaultRowHeight="14.5" x14ac:dyDescent="0.35"/>
  <cols>
    <col min="1" max="1" width="25.54296875" bestFit="1" customWidth="1"/>
    <col min="2" max="2" width="16.26953125" bestFit="1" customWidth="1"/>
  </cols>
  <sheetData>
    <row r="1" spans="1:3" x14ac:dyDescent="0.35">
      <c r="A1" s="1" t="s">
        <v>4</v>
      </c>
      <c r="B1" s="1" t="s">
        <v>0</v>
      </c>
      <c r="C1" s="1" t="s">
        <v>19</v>
      </c>
    </row>
    <row r="2" spans="1:3" x14ac:dyDescent="0.35">
      <c r="A2" t="s">
        <v>1</v>
      </c>
      <c r="B2" t="s">
        <v>17</v>
      </c>
      <c r="C2" s="3" t="s">
        <v>24</v>
      </c>
    </row>
    <row r="3" spans="1:3" x14ac:dyDescent="0.35">
      <c r="A3" t="s">
        <v>2</v>
      </c>
      <c r="B3" t="s">
        <v>18</v>
      </c>
      <c r="C3" s="3" t="s">
        <v>24</v>
      </c>
    </row>
    <row r="4" spans="1:3" x14ac:dyDescent="0.35">
      <c r="A4" t="s">
        <v>3</v>
      </c>
      <c r="B4" s="2">
        <v>17.030519999999999</v>
      </c>
      <c r="C4" t="s">
        <v>20</v>
      </c>
    </row>
    <row r="5" spans="1:3" x14ac:dyDescent="0.35">
      <c r="A5" t="s">
        <v>5</v>
      </c>
      <c r="B5" s="2">
        <v>405.4</v>
      </c>
      <c r="C5" t="s">
        <v>21</v>
      </c>
    </row>
    <row r="6" spans="1:3" x14ac:dyDescent="0.35">
      <c r="A6" t="s">
        <v>6</v>
      </c>
      <c r="B6" s="2">
        <v>11353000</v>
      </c>
      <c r="C6" t="s">
        <v>22</v>
      </c>
    </row>
    <row r="7" spans="1:3" x14ac:dyDescent="0.35">
      <c r="A7" t="s">
        <v>7</v>
      </c>
      <c r="B7" s="2">
        <v>7.2470000000000007E-2</v>
      </c>
      <c r="C7" t="s">
        <v>23</v>
      </c>
    </row>
    <row r="8" spans="1:3" x14ac:dyDescent="0.35">
      <c r="A8" t="s">
        <v>8</v>
      </c>
      <c r="B8" s="2">
        <v>0.255</v>
      </c>
      <c r="C8" t="s">
        <v>24</v>
      </c>
    </row>
    <row r="9" spans="1:3" x14ac:dyDescent="0.35">
      <c r="A9" t="s">
        <v>9</v>
      </c>
      <c r="B9" s="2">
        <v>239.82</v>
      </c>
      <c r="C9" t="s">
        <v>21</v>
      </c>
    </row>
    <row r="10" spans="1:3" x14ac:dyDescent="0.35">
      <c r="A10" t="s">
        <v>10</v>
      </c>
      <c r="B10" s="2">
        <v>195.41</v>
      </c>
      <c r="C10" t="s">
        <v>21</v>
      </c>
    </row>
    <row r="11" spans="1:3" x14ac:dyDescent="0.35">
      <c r="A11" t="s">
        <v>11</v>
      </c>
      <c r="B11" s="2">
        <v>6111.09</v>
      </c>
      <c r="C11" t="s">
        <v>22</v>
      </c>
    </row>
    <row r="12" spans="1:3" x14ac:dyDescent="0.35">
      <c r="A12" t="s">
        <v>12</v>
      </c>
      <c r="B12" s="2">
        <v>0.25600000000000001</v>
      </c>
      <c r="C12" t="s">
        <v>24</v>
      </c>
    </row>
    <row r="13" spans="1:3" x14ac:dyDescent="0.35">
      <c r="A13" t="s">
        <v>13</v>
      </c>
      <c r="B13" s="2">
        <v>-45898000</v>
      </c>
      <c r="C13" t="s">
        <v>25</v>
      </c>
    </row>
    <row r="14" spans="1:3" x14ac:dyDescent="0.35">
      <c r="A14" t="s">
        <v>14</v>
      </c>
      <c r="B14" s="2">
        <v>-16400000</v>
      </c>
      <c r="C14" t="s">
        <v>25</v>
      </c>
    </row>
    <row r="15" spans="1:3" x14ac:dyDescent="0.35">
      <c r="A15" t="s">
        <v>15</v>
      </c>
      <c r="B15" s="2">
        <v>192660</v>
      </c>
      <c r="C15" t="s">
        <v>26</v>
      </c>
    </row>
    <row r="16" spans="1:3" x14ac:dyDescent="0.35">
      <c r="A16" t="s">
        <v>16</v>
      </c>
      <c r="B16" s="2">
        <v>-316830000</v>
      </c>
      <c r="C16" t="s">
        <v>25</v>
      </c>
    </row>
    <row r="20" spans="1:9" x14ac:dyDescent="0.35">
      <c r="A20" t="s">
        <v>922</v>
      </c>
      <c r="B20">
        <v>353.15</v>
      </c>
    </row>
    <row r="21" spans="1:9" x14ac:dyDescent="0.35">
      <c r="A21" t="s">
        <v>51</v>
      </c>
      <c r="B21" s="8" cm="1">
        <f t="array" ref="B21">AMMONIA.RHOL(B20)</f>
        <v>29.6672448603411</v>
      </c>
    </row>
    <row r="22" spans="1:9" x14ac:dyDescent="0.35">
      <c r="A22" t="s">
        <v>52</v>
      </c>
      <c r="B22" cm="1">
        <f t="array" ref="B22">AMMONIA.PSAT(B20)</f>
        <v>4138891.5719998442</v>
      </c>
    </row>
    <row r="23" spans="1:9" x14ac:dyDescent="0.35">
      <c r="A23" t="s">
        <v>53</v>
      </c>
      <c r="B23" cm="1">
        <f t="array" ref="B23">AMMONIA.HVAP(B20)</f>
        <v>15203284.508245232</v>
      </c>
    </row>
    <row r="24" spans="1:9" x14ac:dyDescent="0.35">
      <c r="A24" t="s">
        <v>54</v>
      </c>
      <c r="B24" cm="1">
        <f t="array" ref="B24">AMMONIA.CPL(B20)</f>
        <v>90013.709269611747</v>
      </c>
    </row>
    <row r="25" spans="1:9" x14ac:dyDescent="0.35">
      <c r="A25" t="s">
        <v>55</v>
      </c>
      <c r="B25" cm="1">
        <f t="array" ref="B25">AMMONIA.CPIG(B20)</f>
        <v>37199.026705176802</v>
      </c>
    </row>
    <row r="26" spans="1:9" x14ac:dyDescent="0.35">
      <c r="A26" t="s">
        <v>56</v>
      </c>
      <c r="B26" cm="1">
        <f t="array" ref="B26">AMMONIA.ETAL(B20)</f>
        <v>7.5686518393113856E-5</v>
      </c>
    </row>
    <row r="27" spans="1:9" x14ac:dyDescent="0.35">
      <c r="A27" t="s">
        <v>57</v>
      </c>
      <c r="B27" cm="1">
        <f t="array" ref="B27">AMMONIA.ETAV(B20)</f>
        <v>1.2140005071343558E-5</v>
      </c>
      <c r="G27" s="9"/>
      <c r="I27" s="13"/>
    </row>
    <row r="28" spans="1:9" x14ac:dyDescent="0.35">
      <c r="A28" t="s">
        <v>58</v>
      </c>
      <c r="B28" cm="1">
        <f t="array" ref="B28">AMMONIA.THCL(B20)</f>
        <v>0.35299355319772441</v>
      </c>
      <c r="G28" s="10"/>
      <c r="I28" s="14"/>
    </row>
    <row r="29" spans="1:9" x14ac:dyDescent="0.35">
      <c r="A29" t="s">
        <v>59</v>
      </c>
      <c r="B29" cm="1">
        <f t="array" ref="B29">AMMONIA.THCV(B20)</f>
        <v>3.1515771259215924E-2</v>
      </c>
      <c r="G29" s="11"/>
    </row>
    <row r="30" spans="1:9" x14ac:dyDescent="0.35">
      <c r="A30" t="s">
        <v>60</v>
      </c>
      <c r="B30" cm="1">
        <f t="array" ref="B30">AMMONIA.SIGL(B20)</f>
        <v>8.5075365861718381E-3</v>
      </c>
      <c r="G30" s="12"/>
    </row>
    <row r="1048550" spans="16384:16384" x14ac:dyDescent="0.35">
      <c r="XFD1048550" cm="1">
        <f t="array" ref="XFD1048550">solver_pre</f>
        <v>9.9999999999999995E-7</v>
      </c>
    </row>
    <row r="1048551" spans="16384:16384" x14ac:dyDescent="0.35">
      <c r="XFD1048551" cm="1">
        <f t="array" ref="XFD1048551">solver_scl</f>
        <v>2</v>
      </c>
    </row>
    <row r="1048552" spans="16384:16384" x14ac:dyDescent="0.35">
      <c r="XFD1048552" cm="1">
        <f t="array" ref="XFD1048552">solver_rlx</f>
        <v>2</v>
      </c>
    </row>
    <row r="1048553" spans="16384:16384" x14ac:dyDescent="0.35">
      <c r="XFD1048553" cm="1">
        <f t="array" ref="XFD1048553">solver_tol</f>
        <v>0.01</v>
      </c>
    </row>
    <row r="1048554" spans="16384:16384" x14ac:dyDescent="0.35">
      <c r="XFD1048554" cm="1">
        <f t="array" ref="XFD1048554">solver_cvg</f>
        <v>1E-4</v>
      </c>
    </row>
    <row r="1048555" spans="16384:16384" x14ac:dyDescent="0.35">
      <c r="XFD1048555" t="e" cm="1">
        <f t="array" ref="XFD1048555">AREAS(solver_adj1)</f>
        <v>#NAME?</v>
      </c>
    </row>
    <row r="1048556" spans="16384:16384" x14ac:dyDescent="0.35">
      <c r="XFD1048556" cm="1">
        <f t="array" ref="XFD1048556">solver_ssz</f>
        <v>100</v>
      </c>
    </row>
    <row r="1048557" spans="16384:16384" x14ac:dyDescent="0.35">
      <c r="XFD1048557" cm="1">
        <f t="array" ref="XFD1048557">solver_rsd</f>
        <v>0</v>
      </c>
    </row>
    <row r="1048558" spans="16384:16384" x14ac:dyDescent="0.35">
      <c r="XFD1048558" cm="1">
        <f t="array" ref="XFD1048558">solver_mrt</f>
        <v>7.4999999999999997E-2</v>
      </c>
    </row>
    <row r="1048559" spans="16384:16384" x14ac:dyDescent="0.35">
      <c r="XFD1048559" cm="1">
        <f t="array" ref="XFD1048559">solver_mni</f>
        <v>30</v>
      </c>
    </row>
    <row r="1048560" spans="16384:16384" x14ac:dyDescent="0.35">
      <c r="XFD1048560" cm="1">
        <f t="array" ref="XFD1048560">solver_rbv</f>
        <v>2</v>
      </c>
    </row>
    <row r="1048561" spans="16384:16384" x14ac:dyDescent="0.35">
      <c r="XFD1048561" cm="1">
        <f t="array" ref="XFD1048561">solver_neg</f>
        <v>1</v>
      </c>
    </row>
    <row r="1048562" spans="16384:16384" x14ac:dyDescent="0.35">
      <c r="XFD1048562" t="e" cm="1">
        <f t="array" ref="XFD1048562">solver_ntr</f>
        <v>#NAME?</v>
      </c>
    </row>
    <row r="1048563" spans="16384:16384" x14ac:dyDescent="0.35">
      <c r="XFD1048563" t="e" cm="1">
        <f t="array" ref="XFD1048563">solver_acc</f>
        <v>#NAME?</v>
      </c>
    </row>
    <row r="1048564" spans="16384:16384" x14ac:dyDescent="0.35">
      <c r="XFD1048564" t="e" cm="1">
        <f t="array" ref="XFD1048564">solver_res</f>
        <v>#NAME?</v>
      </c>
    </row>
    <row r="1048565" spans="16384:16384" x14ac:dyDescent="0.35">
      <c r="XFD1048565" t="e" cm="1">
        <f t="array" ref="XFD1048565">solver_ars</f>
        <v>#NAME?</v>
      </c>
    </row>
    <row r="1048566" spans="16384:16384" x14ac:dyDescent="0.35">
      <c r="XFD1048566" t="e" cm="1">
        <f t="array" ref="XFD1048566">solver_sta</f>
        <v>#NAME?</v>
      </c>
    </row>
    <row r="1048567" spans="16384:16384" x14ac:dyDescent="0.35">
      <c r="XFD1048567" t="e" cm="1">
        <f t="array" ref="XFD1048567">solver_met</f>
        <v>#NAME?</v>
      </c>
    </row>
    <row r="1048568" spans="16384:16384" x14ac:dyDescent="0.35">
      <c r="XFD1048568" t="e" cm="1">
        <f t="array" ref="XFD1048568">solver_soc</f>
        <v>#NAME?</v>
      </c>
    </row>
    <row r="1048569" spans="16384:16384" x14ac:dyDescent="0.35">
      <c r="XFD1048569" t="e" cm="1">
        <f t="array" ref="XFD1048569">solver_lpt</f>
        <v>#NAME?</v>
      </c>
    </row>
    <row r="1048570" spans="16384:16384" x14ac:dyDescent="0.35">
      <c r="XFD1048570" t="e" cm="1">
        <f t="array" ref="XFD1048570">solver_lpp</f>
        <v>#NAME?</v>
      </c>
    </row>
    <row r="1048571" spans="16384:16384" x14ac:dyDescent="0.35">
      <c r="XFD1048571" t="e" cm="1">
        <f t="array" ref="XFD1048571">solver_gap</f>
        <v>#NAME?</v>
      </c>
    </row>
    <row r="1048572" spans="16384:16384" x14ac:dyDescent="0.35">
      <c r="XFD1048572" t="e" cm="1">
        <f t="array" ref="XFD1048572">solver_ips</f>
        <v>#NAME?</v>
      </c>
    </row>
    <row r="1048573" spans="16384:16384" x14ac:dyDescent="0.35">
      <c r="XFD1048573" t="e" cm="1">
        <f t="array" ref="XFD1048573">solver_fea</f>
        <v>#NAME?</v>
      </c>
    </row>
    <row r="1048574" spans="16384:16384" x14ac:dyDescent="0.35">
      <c r="XFD1048574" t="e" cm="1">
        <f t="array" ref="XFD1048574">solver_ipi</f>
        <v>#NAME?</v>
      </c>
    </row>
    <row r="1048575" spans="16384:16384" x14ac:dyDescent="0.35">
      <c r="XFD1048575" t="e" cm="1">
        <f t="array" ref="XFD1048575">solver_ipd</f>
        <v>#NAME?</v>
      </c>
    </row>
  </sheetData>
  <pageMargins left="0.7" right="0.7" top="0.75" bottom="0.75" header="0.3" footer="0.3"/>
  <pageSetup paperSize="9"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AF675B87-DC78-4F2C-95B9-C36E4C63D6CB}">
          <xm:f>PropertyConstants!1:1048576</xm:f>
        </x15:webExtension>
        <x15:webExtension appRef="{6BEA4EA2-4A65-471E-B9D2-0893C724A9A5}">
          <xm:f>PropertyConstants!XFD1048550:XFD1048575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DC88-A5A3-4FAE-8122-B9E2DFD778C3}">
  <sheetPr codeName="Sheet02"/>
  <dimension ref="A1:B11"/>
  <sheetViews>
    <sheetView workbookViewId="0">
      <selection activeCell="H19" sqref="H19"/>
    </sheetView>
  </sheetViews>
  <sheetFormatPr defaultRowHeight="14.5" x14ac:dyDescent="0.35"/>
  <cols>
    <col min="1" max="1" width="26.26953125" bestFit="1" customWidth="1"/>
  </cols>
  <sheetData>
    <row r="1" spans="1:2" x14ac:dyDescent="0.35">
      <c r="A1" s="1" t="s">
        <v>27</v>
      </c>
      <c r="B1" s="1" t="s">
        <v>50</v>
      </c>
    </row>
    <row r="2" spans="1:2" x14ac:dyDescent="0.35">
      <c r="A2" t="s">
        <v>28</v>
      </c>
      <c r="B2" t="s">
        <v>51</v>
      </c>
    </row>
    <row r="3" spans="1:2" x14ac:dyDescent="0.35">
      <c r="A3" t="s">
        <v>29</v>
      </c>
      <c r="B3" t="s">
        <v>52</v>
      </c>
    </row>
    <row r="4" spans="1:2" x14ac:dyDescent="0.35">
      <c r="A4" t="s">
        <v>30</v>
      </c>
      <c r="B4" t="s">
        <v>53</v>
      </c>
    </row>
    <row r="5" spans="1:2" x14ac:dyDescent="0.35">
      <c r="A5" t="s">
        <v>31</v>
      </c>
      <c r="B5" t="s">
        <v>54</v>
      </c>
    </row>
    <row r="6" spans="1:2" x14ac:dyDescent="0.35">
      <c r="A6" t="s">
        <v>32</v>
      </c>
      <c r="B6" t="s">
        <v>55</v>
      </c>
    </row>
    <row r="7" spans="1:2" x14ac:dyDescent="0.35">
      <c r="A7" t="s">
        <v>33</v>
      </c>
      <c r="B7" t="s">
        <v>56</v>
      </c>
    </row>
    <row r="8" spans="1:2" x14ac:dyDescent="0.35">
      <c r="A8" t="s">
        <v>34</v>
      </c>
      <c r="B8" t="s">
        <v>57</v>
      </c>
    </row>
    <row r="9" spans="1:2" x14ac:dyDescent="0.35">
      <c r="A9" t="s">
        <v>35</v>
      </c>
      <c r="B9" t="s">
        <v>58</v>
      </c>
    </row>
    <row r="10" spans="1:2" x14ac:dyDescent="0.35">
      <c r="A10" t="s">
        <v>36</v>
      </c>
      <c r="B10" t="s">
        <v>59</v>
      </c>
    </row>
    <row r="11" spans="1:2" x14ac:dyDescent="0.35">
      <c r="A11" t="s">
        <v>37</v>
      </c>
      <c r="B11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B1AF-FFC3-4500-8F8D-A9FA29695958}">
  <sheetPr codeName="Sheet04"/>
  <dimension ref="A1:K9"/>
  <sheetViews>
    <sheetView workbookViewId="0">
      <selection activeCell="B2" sqref="B2:B9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105</v>
      </c>
    </row>
    <row r="3" spans="1:11" x14ac:dyDescent="0.35">
      <c r="A3" t="s">
        <v>46</v>
      </c>
      <c r="B3" s="2">
        <v>195</v>
      </c>
    </row>
    <row r="4" spans="1:11" x14ac:dyDescent="0.35">
      <c r="A4" t="s">
        <v>45</v>
      </c>
      <c r="B4" s="2">
        <v>405.15</v>
      </c>
    </row>
    <row r="5" spans="1:11" x14ac:dyDescent="0.35">
      <c r="A5" t="s">
        <v>40</v>
      </c>
      <c r="B5" s="5">
        <v>4.0518000000000001</v>
      </c>
    </row>
    <row r="6" spans="1:11" x14ac:dyDescent="0.35">
      <c r="A6" t="s">
        <v>41</v>
      </c>
      <c r="B6" s="5">
        <v>0.27128999999999998</v>
      </c>
    </row>
    <row r="7" spans="1:11" x14ac:dyDescent="0.35">
      <c r="A7" t="s">
        <v>42</v>
      </c>
      <c r="B7" s="5">
        <v>405.4</v>
      </c>
    </row>
    <row r="8" spans="1:11" x14ac:dyDescent="0.35">
      <c r="A8" t="s">
        <v>43</v>
      </c>
      <c r="B8" s="5">
        <v>0.31348999999999999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C58E-AB79-42DE-BE5F-BAC159DE823B}">
  <sheetPr codeName="Sheet03"/>
  <dimension ref="A1:K9"/>
  <sheetViews>
    <sheetView workbookViewId="0">
      <selection activeCell="B31" sqref="B3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101</v>
      </c>
    </row>
    <row r="3" spans="1:11" x14ac:dyDescent="0.35">
      <c r="A3" t="s">
        <v>46</v>
      </c>
      <c r="B3" s="2">
        <v>191.24</v>
      </c>
    </row>
    <row r="4" spans="1:11" x14ac:dyDescent="0.35">
      <c r="A4" t="s">
        <v>45</v>
      </c>
      <c r="B4" s="2">
        <v>406.05</v>
      </c>
    </row>
    <row r="5" spans="1:11" x14ac:dyDescent="0.35">
      <c r="A5" t="s">
        <v>40</v>
      </c>
      <c r="B5" s="5">
        <v>62.884900000000002</v>
      </c>
    </row>
    <row r="6" spans="1:11" x14ac:dyDescent="0.35">
      <c r="A6" t="s">
        <v>41</v>
      </c>
      <c r="B6" s="5">
        <v>-4136.8620000000001</v>
      </c>
    </row>
    <row r="7" spans="1:11" x14ac:dyDescent="0.35">
      <c r="A7" t="s">
        <v>42</v>
      </c>
      <c r="B7" s="5">
        <v>-6.3206629999999997</v>
      </c>
    </row>
    <row r="8" spans="1:11" x14ac:dyDescent="0.35">
      <c r="A8" t="s">
        <v>43</v>
      </c>
      <c r="B8" s="5">
        <v>9.2039470000000003E-6</v>
      </c>
    </row>
    <row r="9" spans="1:11" x14ac:dyDescent="0.35">
      <c r="A9" t="s">
        <v>44</v>
      </c>
      <c r="B9" s="5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45FBA-3543-4D7D-9C58-7C9C09AF01CF}">
  <sheetPr codeName="Sheet05"/>
  <dimension ref="A1:K9"/>
  <sheetViews>
    <sheetView workbookViewId="0">
      <selection activeCell="M44" sqref="M44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403.15</v>
      </c>
    </row>
    <row r="5" spans="1:11" x14ac:dyDescent="0.35">
      <c r="A5" t="s">
        <v>40</v>
      </c>
      <c r="B5" s="5">
        <v>24542000</v>
      </c>
    </row>
    <row r="6" spans="1:11" x14ac:dyDescent="0.35">
      <c r="A6" t="s">
        <v>41</v>
      </c>
      <c r="B6" s="5">
        <v>-1.3178000000000001</v>
      </c>
    </row>
    <row r="7" spans="1:11" x14ac:dyDescent="0.35">
      <c r="A7" t="s">
        <v>42</v>
      </c>
      <c r="B7" s="5">
        <v>4.7194000000000003</v>
      </c>
    </row>
    <row r="8" spans="1:11" x14ac:dyDescent="0.35">
      <c r="A8" t="s">
        <v>43</v>
      </c>
      <c r="B8" s="5">
        <v>-5.4808000000000003</v>
      </c>
    </row>
    <row r="9" spans="1:11" x14ac:dyDescent="0.35">
      <c r="A9" t="s">
        <v>44</v>
      </c>
      <c r="B9" s="5">
        <v>2.4196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62A6-16DB-448E-B9DE-45F471BF9DF0}">
  <sheetPr codeName="Sheet06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195.45</v>
      </c>
    </row>
    <row r="4" spans="1:11" x14ac:dyDescent="0.35">
      <c r="A4" t="s">
        <v>45</v>
      </c>
      <c r="B4" s="2">
        <v>401.15</v>
      </c>
    </row>
    <row r="5" spans="1:11" x14ac:dyDescent="0.35">
      <c r="A5" t="s">
        <v>40</v>
      </c>
      <c r="B5" s="5">
        <v>77659</v>
      </c>
    </row>
    <row r="6" spans="1:11" x14ac:dyDescent="0.35">
      <c r="A6" t="s">
        <v>41</v>
      </c>
      <c r="B6" s="5">
        <v>-45330</v>
      </c>
    </row>
    <row r="7" spans="1:11" x14ac:dyDescent="0.35">
      <c r="A7" t="s">
        <v>42</v>
      </c>
      <c r="B7" s="5">
        <v>445.74</v>
      </c>
    </row>
    <row r="8" spans="1:11" x14ac:dyDescent="0.35">
      <c r="A8" t="s">
        <v>43</v>
      </c>
      <c r="B8" s="5">
        <v>-1.4197</v>
      </c>
    </row>
    <row r="9" spans="1:11" x14ac:dyDescent="0.35">
      <c r="A9" t="s">
        <v>44</v>
      </c>
      <c r="B9" s="5">
        <v>1.5508E-3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6657-E4F6-4B6F-8247-4322993795CB}">
  <sheetPr codeName="Sheet07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100</v>
      </c>
    </row>
    <row r="4" spans="1:11" x14ac:dyDescent="0.35">
      <c r="A4" t="s">
        <v>45</v>
      </c>
      <c r="B4" s="2">
        <v>1500</v>
      </c>
    </row>
    <row r="5" spans="1:11" x14ac:dyDescent="0.35">
      <c r="A5" t="s">
        <v>40</v>
      </c>
      <c r="B5" s="5">
        <v>33239</v>
      </c>
    </row>
    <row r="6" spans="1:11" x14ac:dyDescent="0.35">
      <c r="A6" t="s">
        <v>41</v>
      </c>
      <c r="B6" s="5">
        <v>-913.64</v>
      </c>
    </row>
    <row r="7" spans="1:11" x14ac:dyDescent="0.35">
      <c r="A7" t="s">
        <v>42</v>
      </c>
      <c r="B7" s="5">
        <v>10.802</v>
      </c>
    </row>
    <row r="8" spans="1:11" x14ac:dyDescent="0.35">
      <c r="A8" t="s">
        <v>43</v>
      </c>
      <c r="B8" s="5">
        <v>2.1047000000000001E-4</v>
      </c>
    </row>
    <row r="9" spans="1:11" x14ac:dyDescent="0.35">
      <c r="A9" t="s">
        <v>44</v>
      </c>
      <c r="B9" s="5">
        <v>-4.1739000000000001E-8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F8FF-F288-4819-A9DA-D0F5D76FEDD5}">
  <sheetPr codeName="Sheet08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101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398.15</v>
      </c>
    </row>
    <row r="5" spans="1:11" x14ac:dyDescent="0.35">
      <c r="A5" t="s">
        <v>40</v>
      </c>
      <c r="B5" s="5">
        <v>-39.741999999999997</v>
      </c>
    </row>
    <row r="6" spans="1:11" x14ac:dyDescent="0.35">
      <c r="A6" t="s">
        <v>41</v>
      </c>
      <c r="B6" s="5">
        <v>1486.5</v>
      </c>
    </row>
    <row r="7" spans="1:11" x14ac:dyDescent="0.35">
      <c r="A7" t="s">
        <v>42</v>
      </c>
      <c r="B7" s="5">
        <v>4.7748999999999997</v>
      </c>
    </row>
    <row r="8" spans="1:11" x14ac:dyDescent="0.35">
      <c r="A8" t="s">
        <v>43</v>
      </c>
      <c r="B8" s="5">
        <v>-1.5795999999999999E-5</v>
      </c>
    </row>
    <row r="9" spans="1:11" x14ac:dyDescent="0.35">
      <c r="A9" t="s">
        <v>44</v>
      </c>
      <c r="B9" s="5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B110-EA25-4F6D-93EF-CEAE903C73E9}">
  <sheetPr codeName="Sheet09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102</v>
      </c>
    </row>
    <row r="3" spans="1:11" x14ac:dyDescent="0.35">
      <c r="A3" t="s">
        <v>46</v>
      </c>
      <c r="B3" s="2">
        <v>194.6</v>
      </c>
    </row>
    <row r="4" spans="1:11" x14ac:dyDescent="0.35">
      <c r="A4" t="s">
        <v>45</v>
      </c>
      <c r="B4" s="2">
        <v>1000</v>
      </c>
    </row>
    <row r="5" spans="1:11" x14ac:dyDescent="0.35">
      <c r="A5" t="s">
        <v>40</v>
      </c>
      <c r="B5" s="5">
        <v>4.5900000000000001E-8</v>
      </c>
    </row>
    <row r="6" spans="1:11" x14ac:dyDescent="0.35">
      <c r="A6" t="s">
        <v>41</v>
      </c>
      <c r="B6" s="5">
        <v>0.96936</v>
      </c>
    </row>
    <row r="7" spans="1:11" x14ac:dyDescent="0.35">
      <c r="A7" t="s">
        <v>42</v>
      </c>
      <c r="B7" s="5">
        <v>48.366</v>
      </c>
    </row>
    <row r="8" spans="1:11" x14ac:dyDescent="0.35">
      <c r="A8" t="s">
        <v>43</v>
      </c>
      <c r="B8" s="5">
        <v>-2671.4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B157-0004-40A6-BADA-61460E519921}">
  <sheetPr codeName="Sheet10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400.05</v>
      </c>
    </row>
    <row r="5" spans="1:11" x14ac:dyDescent="0.35">
      <c r="A5" t="s">
        <v>40</v>
      </c>
      <c r="B5" s="5">
        <v>-0.95308999999999999</v>
      </c>
    </row>
    <row r="6" spans="1:11" x14ac:dyDescent="0.35">
      <c r="A6" t="s">
        <v>41</v>
      </c>
      <c r="B6" s="5">
        <v>14.683999999999999</v>
      </c>
    </row>
    <row r="7" spans="1:11" x14ac:dyDescent="0.35">
      <c r="A7" t="s">
        <v>42</v>
      </c>
      <c r="B7" s="5">
        <v>0.56767999999999996</v>
      </c>
    </row>
    <row r="8" spans="1:11" x14ac:dyDescent="0.35">
      <c r="A8" t="s">
        <v>43</v>
      </c>
      <c r="B8" s="5">
        <v>-2.8968E-4</v>
      </c>
    </row>
    <row r="9" spans="1:11" x14ac:dyDescent="0.35">
      <c r="A9" t="s">
        <v>44</v>
      </c>
      <c r="B9" s="5">
        <v>-1.9238000000000001E-6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35F9-8AAD-42E5-8B4F-FBADA04CFFA8}">
  <sheetPr codeName="Sheet11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102</v>
      </c>
    </row>
    <row r="3" spans="1:11" x14ac:dyDescent="0.35">
      <c r="A3" t="s">
        <v>46</v>
      </c>
      <c r="B3" s="2">
        <v>200</v>
      </c>
    </row>
    <row r="4" spans="1:11" x14ac:dyDescent="0.35">
      <c r="A4" t="s">
        <v>45</v>
      </c>
      <c r="B4" s="2">
        <v>900</v>
      </c>
    </row>
    <row r="5" spans="1:11" x14ac:dyDescent="0.35">
      <c r="A5" t="s">
        <v>40</v>
      </c>
      <c r="B5" s="5">
        <v>1.6164999999999999E-5</v>
      </c>
    </row>
    <row r="6" spans="1:11" x14ac:dyDescent="0.35">
      <c r="A6" t="s">
        <v>41</v>
      </c>
      <c r="B6" s="5">
        <v>1.3146</v>
      </c>
    </row>
    <row r="7" spans="1:11" x14ac:dyDescent="0.35">
      <c r="A7" t="s">
        <v>42</v>
      </c>
      <c r="B7" s="5">
        <v>75.168000000000006</v>
      </c>
    </row>
    <row r="8" spans="1:11" x14ac:dyDescent="0.35">
      <c r="A8" t="s">
        <v>43</v>
      </c>
      <c r="B8" s="5">
        <v>-8202.1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90458-D5A8-461B-8489-AF84D5754C37}">
  <sheetPr codeName="Sheet12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405.55</v>
      </c>
    </row>
    <row r="5" spans="1:11" x14ac:dyDescent="0.35">
      <c r="A5" t="s">
        <v>40</v>
      </c>
      <c r="B5" s="5">
        <v>-1.1950000000000001E-2</v>
      </c>
    </row>
    <row r="6" spans="1:11" x14ac:dyDescent="0.35">
      <c r="A6" t="s">
        <v>41</v>
      </c>
      <c r="B6" s="5">
        <v>209.99</v>
      </c>
    </row>
    <row r="7" spans="1:11" x14ac:dyDescent="0.35">
      <c r="A7" t="s">
        <v>42</v>
      </c>
      <c r="B7" s="5">
        <v>-5.1813000000000002</v>
      </c>
    </row>
    <row r="8" spans="1:11" x14ac:dyDescent="0.35">
      <c r="A8" t="s">
        <v>43</v>
      </c>
      <c r="B8" s="5">
        <v>1.1762E-2</v>
      </c>
    </row>
    <row r="9" spans="1:11" x14ac:dyDescent="0.35">
      <c r="A9" t="s">
        <v>44</v>
      </c>
      <c r="B9" s="5">
        <v>-2.7715000000000001E-5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Thermo">
        <group id="customGroup" label="Data">
          <button id="customButton" label="Browse" imageMso="GetExternalDataExistingConnections" size="large" onAction="openPropertyBrows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CompoundListRaw</vt:lpstr>
      <vt:lpstr>CompoundListFiltered</vt:lpstr>
      <vt:lpstr>PropertyConstants</vt:lpstr>
      <vt:lpstr>CorrelationList</vt:lpstr>
      <vt:lpstr>RHOL</vt:lpstr>
      <vt:lpstr>PSAT</vt:lpstr>
      <vt:lpstr>HVAP</vt:lpstr>
      <vt:lpstr>CPL</vt:lpstr>
      <vt:lpstr>CPIG</vt:lpstr>
      <vt:lpstr>ETAL</vt:lpstr>
      <vt:lpstr>ETAV</vt:lpstr>
      <vt:lpstr>THCL</vt:lpstr>
      <vt:lpstr>THCV</vt:lpstr>
      <vt:lpstr>SIGL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Balslev</dc:creator>
  <cp:lastModifiedBy>Kenneth Balslev</cp:lastModifiedBy>
  <dcterms:created xsi:type="dcterms:W3CDTF">2023-06-06T14:48:08Z</dcterms:created>
  <dcterms:modified xsi:type="dcterms:W3CDTF">2023-06-16T20:09:53Z</dcterms:modified>
</cp:coreProperties>
</file>